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33be895db670e3c/Documents/Data Analytics/Projects/Coffee Sales/"/>
    </mc:Choice>
  </mc:AlternateContent>
  <xr:revisionPtr revIDLastSave="317" documentId="8_{16673EB6-3247-4EF4-AA94-36B39115BFC2}" xr6:coauthVersionLast="47" xr6:coauthVersionMax="47" xr10:uidLastSave="{09C86772-9DD2-4E28-86FC-B34A096D1828}"/>
  <bookViews>
    <workbookView showHorizontalScroll="0" showVerticalScroll="0" xWindow="11424" yWindow="0" windowWidth="11712" windowHeight="12336" xr2:uid="{00000000-000D-0000-FFFF-FFFF00000000}"/>
  </bookViews>
  <sheets>
    <sheet name="RFM Analysis" sheetId="23" r:id="rId1"/>
    <sheet name="Total Sales" sheetId="18" r:id="rId2"/>
    <sheet name="Country BarChart" sheetId="19" r:id="rId3"/>
    <sheet name="Country BarChart (2)" sheetId="21" r:id="rId4"/>
    <sheet name="Dashboard" sheetId="22" r:id="rId5"/>
    <sheet name="Sheet1" sheetId="24"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3" l="1"/>
  <c r="J5" i="23"/>
  <c r="J918" i="23"/>
  <c r="L918" i="23" s="1"/>
  <c r="I918" i="23"/>
  <c r="O14" i="23"/>
  <c r="O13"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251" i="23"/>
  <c r="L252" i="23"/>
  <c r="L253" i="23"/>
  <c r="L254" i="23"/>
  <c r="L255" i="23"/>
  <c r="L256" i="23"/>
  <c r="L257" i="23"/>
  <c r="L258" i="23"/>
  <c r="L259" i="23"/>
  <c r="L260" i="23"/>
  <c r="L261" i="23"/>
  <c r="L262" i="23"/>
  <c r="L263" i="23"/>
  <c r="L264" i="23"/>
  <c r="L265" i="23"/>
  <c r="L266" i="23"/>
  <c r="L267" i="23"/>
  <c r="L268" i="23"/>
  <c r="L269" i="23"/>
  <c r="L270" i="23"/>
  <c r="L271" i="23"/>
  <c r="L272" i="23"/>
  <c r="L273" i="23"/>
  <c r="L274" i="23"/>
  <c r="L275" i="23"/>
  <c r="L276" i="23"/>
  <c r="L277" i="23"/>
  <c r="L278" i="23"/>
  <c r="L279" i="23"/>
  <c r="L280" i="23"/>
  <c r="L281" i="23"/>
  <c r="L282" i="23"/>
  <c r="L283" i="23"/>
  <c r="L284" i="23"/>
  <c r="L285" i="23"/>
  <c r="L286" i="23"/>
  <c r="L287" i="23"/>
  <c r="L288" i="23"/>
  <c r="L289" i="23"/>
  <c r="L290" i="23"/>
  <c r="L291" i="23"/>
  <c r="L292" i="23"/>
  <c r="L293" i="23"/>
  <c r="L294" i="23"/>
  <c r="L295" i="23"/>
  <c r="L296" i="23"/>
  <c r="L297" i="23"/>
  <c r="L298" i="23"/>
  <c r="L299" i="23"/>
  <c r="L300" i="23"/>
  <c r="L301" i="23"/>
  <c r="L302" i="23"/>
  <c r="L303" i="23"/>
  <c r="L304" i="23"/>
  <c r="L305" i="23"/>
  <c r="L306" i="23"/>
  <c r="L307" i="23"/>
  <c r="L308" i="23"/>
  <c r="L309" i="23"/>
  <c r="L310" i="23"/>
  <c r="L311" i="23"/>
  <c r="L312" i="23"/>
  <c r="L313" i="23"/>
  <c r="L314" i="23"/>
  <c r="L315" i="23"/>
  <c r="L316" i="23"/>
  <c r="L317" i="23"/>
  <c r="L318" i="23"/>
  <c r="L319" i="23"/>
  <c r="L320" i="23"/>
  <c r="L321" i="23"/>
  <c r="L322" i="23"/>
  <c r="L323" i="23"/>
  <c r="L324" i="23"/>
  <c r="L325" i="23"/>
  <c r="L326" i="23"/>
  <c r="L327" i="23"/>
  <c r="L328" i="23"/>
  <c r="L329" i="23"/>
  <c r="L330" i="23"/>
  <c r="L331" i="23"/>
  <c r="L332" i="23"/>
  <c r="L333" i="23"/>
  <c r="L334" i="23"/>
  <c r="L335" i="23"/>
  <c r="L336" i="23"/>
  <c r="L337" i="23"/>
  <c r="L338" i="23"/>
  <c r="L339" i="23"/>
  <c r="L340" i="23"/>
  <c r="L341" i="23"/>
  <c r="L342" i="23"/>
  <c r="L343" i="23"/>
  <c r="L344" i="23"/>
  <c r="L345" i="23"/>
  <c r="L346" i="23"/>
  <c r="L347" i="23"/>
  <c r="L348" i="23"/>
  <c r="L349" i="23"/>
  <c r="L350" i="23"/>
  <c r="L351" i="23"/>
  <c r="L352" i="23"/>
  <c r="L353" i="23"/>
  <c r="L354" i="23"/>
  <c r="L355" i="23"/>
  <c r="L356" i="23"/>
  <c r="L357" i="23"/>
  <c r="L358" i="23"/>
  <c r="L359" i="23"/>
  <c r="L360" i="23"/>
  <c r="L361" i="23"/>
  <c r="L362" i="23"/>
  <c r="L363" i="23"/>
  <c r="L364" i="23"/>
  <c r="L365" i="23"/>
  <c r="L366" i="23"/>
  <c r="L367" i="23"/>
  <c r="L368" i="23"/>
  <c r="L369" i="23"/>
  <c r="L370" i="23"/>
  <c r="L371" i="23"/>
  <c r="L372" i="23"/>
  <c r="L373" i="23"/>
  <c r="L374" i="23"/>
  <c r="L375" i="23"/>
  <c r="L376" i="23"/>
  <c r="L377" i="23"/>
  <c r="L378" i="23"/>
  <c r="L379" i="23"/>
  <c r="L380" i="23"/>
  <c r="L381" i="23"/>
  <c r="L382" i="23"/>
  <c r="L383" i="23"/>
  <c r="L384" i="23"/>
  <c r="L385" i="23"/>
  <c r="L386" i="23"/>
  <c r="L387" i="23"/>
  <c r="L388" i="23"/>
  <c r="L389" i="23"/>
  <c r="L390" i="23"/>
  <c r="L391" i="23"/>
  <c r="L392" i="23"/>
  <c r="L393" i="23"/>
  <c r="L394" i="23"/>
  <c r="L395" i="23"/>
  <c r="L396" i="23"/>
  <c r="L397" i="23"/>
  <c r="L398" i="23"/>
  <c r="L399" i="23"/>
  <c r="L400" i="23"/>
  <c r="L401" i="23"/>
  <c r="L402" i="23"/>
  <c r="L403" i="23"/>
  <c r="L404" i="23"/>
  <c r="L405" i="23"/>
  <c r="L406" i="23"/>
  <c r="L407" i="23"/>
  <c r="L408" i="23"/>
  <c r="L409" i="23"/>
  <c r="L410" i="23"/>
  <c r="L411" i="23"/>
  <c r="L412" i="23"/>
  <c r="L413" i="23"/>
  <c r="L414" i="23"/>
  <c r="L415" i="23"/>
  <c r="L416" i="23"/>
  <c r="L417" i="23"/>
  <c r="L418" i="23"/>
  <c r="L419" i="23"/>
  <c r="L420" i="23"/>
  <c r="L421" i="23"/>
  <c r="L422" i="23"/>
  <c r="L423" i="23"/>
  <c r="L424" i="23"/>
  <c r="L425" i="23"/>
  <c r="L426" i="23"/>
  <c r="L427" i="23"/>
  <c r="L428" i="23"/>
  <c r="L429" i="23"/>
  <c r="L430" i="23"/>
  <c r="L431" i="23"/>
  <c r="L432" i="23"/>
  <c r="L433" i="23"/>
  <c r="L434" i="23"/>
  <c r="L435" i="23"/>
  <c r="L436" i="23"/>
  <c r="L437" i="23"/>
  <c r="L438" i="23"/>
  <c r="L439" i="23"/>
  <c r="L440" i="23"/>
  <c r="L441" i="23"/>
  <c r="L442" i="23"/>
  <c r="L443" i="23"/>
  <c r="L444" i="23"/>
  <c r="L445" i="23"/>
  <c r="L446" i="23"/>
  <c r="L447" i="23"/>
  <c r="L448" i="23"/>
  <c r="L449" i="23"/>
  <c r="L450" i="23"/>
  <c r="L451" i="23"/>
  <c r="L452" i="23"/>
  <c r="L453" i="23"/>
  <c r="L454" i="23"/>
  <c r="L455" i="23"/>
  <c r="L456" i="23"/>
  <c r="L457" i="23"/>
  <c r="L458" i="23"/>
  <c r="L459" i="23"/>
  <c r="L460" i="23"/>
  <c r="L461" i="23"/>
  <c r="L462" i="23"/>
  <c r="L463" i="23"/>
  <c r="L464" i="23"/>
  <c r="L465" i="23"/>
  <c r="L466" i="23"/>
  <c r="L467" i="23"/>
  <c r="L468" i="23"/>
  <c r="L469" i="23"/>
  <c r="L470" i="23"/>
  <c r="L471" i="23"/>
  <c r="L472" i="23"/>
  <c r="L473" i="23"/>
  <c r="L474" i="23"/>
  <c r="L475" i="23"/>
  <c r="L476" i="23"/>
  <c r="L477" i="23"/>
  <c r="L478" i="23"/>
  <c r="L479" i="23"/>
  <c r="L480" i="23"/>
  <c r="L481" i="23"/>
  <c r="L482" i="23"/>
  <c r="L483" i="23"/>
  <c r="L484" i="23"/>
  <c r="L485" i="23"/>
  <c r="L486" i="23"/>
  <c r="L487" i="23"/>
  <c r="L488" i="23"/>
  <c r="L489" i="23"/>
  <c r="L490" i="23"/>
  <c r="L491" i="23"/>
  <c r="L492" i="23"/>
  <c r="L493" i="23"/>
  <c r="L494" i="23"/>
  <c r="L495" i="23"/>
  <c r="L496" i="23"/>
  <c r="L497" i="23"/>
  <c r="L498" i="23"/>
  <c r="L499" i="23"/>
  <c r="L500" i="23"/>
  <c r="L501" i="23"/>
  <c r="L502" i="23"/>
  <c r="L503" i="23"/>
  <c r="L504" i="23"/>
  <c r="L505" i="23"/>
  <c r="L506" i="23"/>
  <c r="L507" i="23"/>
  <c r="L508" i="23"/>
  <c r="L509" i="23"/>
  <c r="L510" i="23"/>
  <c r="L511" i="23"/>
  <c r="L512" i="23"/>
  <c r="L513" i="23"/>
  <c r="L514" i="23"/>
  <c r="L515" i="23"/>
  <c r="L516" i="23"/>
  <c r="L517" i="23"/>
  <c r="L518" i="23"/>
  <c r="L519" i="23"/>
  <c r="L520" i="23"/>
  <c r="L521" i="23"/>
  <c r="L522" i="23"/>
  <c r="L523" i="23"/>
  <c r="L524" i="23"/>
  <c r="L525" i="23"/>
  <c r="L526" i="23"/>
  <c r="L527" i="23"/>
  <c r="L528" i="23"/>
  <c r="L529" i="23"/>
  <c r="L530" i="23"/>
  <c r="L531" i="23"/>
  <c r="L532" i="23"/>
  <c r="L533" i="23"/>
  <c r="L534" i="23"/>
  <c r="L535" i="23"/>
  <c r="L536" i="23"/>
  <c r="L537" i="23"/>
  <c r="L538" i="23"/>
  <c r="L539" i="23"/>
  <c r="L540" i="23"/>
  <c r="L541" i="23"/>
  <c r="L542" i="23"/>
  <c r="L543" i="23"/>
  <c r="L544" i="23"/>
  <c r="L545" i="23"/>
  <c r="L546" i="23"/>
  <c r="L547" i="23"/>
  <c r="L548" i="23"/>
  <c r="L549" i="23"/>
  <c r="L550" i="23"/>
  <c r="L551" i="23"/>
  <c r="L552" i="23"/>
  <c r="L553" i="23"/>
  <c r="L554" i="23"/>
  <c r="L555" i="23"/>
  <c r="L556" i="23"/>
  <c r="L557" i="23"/>
  <c r="L558" i="23"/>
  <c r="L559" i="23"/>
  <c r="L560" i="23"/>
  <c r="L561" i="23"/>
  <c r="L562" i="23"/>
  <c r="L563" i="23"/>
  <c r="L564" i="23"/>
  <c r="L565" i="23"/>
  <c r="L566" i="23"/>
  <c r="L567" i="23"/>
  <c r="L568" i="23"/>
  <c r="L569" i="23"/>
  <c r="L570" i="23"/>
  <c r="L571" i="23"/>
  <c r="L572" i="23"/>
  <c r="L573" i="23"/>
  <c r="L574" i="23"/>
  <c r="L575" i="23"/>
  <c r="L576" i="23"/>
  <c r="L577" i="23"/>
  <c r="L578" i="23"/>
  <c r="L579" i="23"/>
  <c r="L580" i="23"/>
  <c r="L581" i="23"/>
  <c r="L582" i="23"/>
  <c r="L583" i="23"/>
  <c r="L584" i="23"/>
  <c r="L585" i="23"/>
  <c r="L586" i="23"/>
  <c r="L587" i="23"/>
  <c r="L588" i="23"/>
  <c r="L589" i="23"/>
  <c r="L590" i="23"/>
  <c r="L591" i="23"/>
  <c r="L592" i="23"/>
  <c r="L593" i="23"/>
  <c r="L594" i="23"/>
  <c r="L595" i="23"/>
  <c r="L596" i="23"/>
  <c r="L597" i="23"/>
  <c r="L598" i="23"/>
  <c r="L599" i="23"/>
  <c r="L600" i="23"/>
  <c r="L601" i="23"/>
  <c r="L602" i="23"/>
  <c r="L603" i="23"/>
  <c r="L604" i="23"/>
  <c r="L605" i="23"/>
  <c r="L606" i="23"/>
  <c r="L607" i="23"/>
  <c r="L608" i="23"/>
  <c r="L609" i="23"/>
  <c r="L610" i="23"/>
  <c r="L611" i="23"/>
  <c r="L612" i="23"/>
  <c r="L613" i="23"/>
  <c r="L614" i="23"/>
  <c r="L615" i="23"/>
  <c r="L616" i="23"/>
  <c r="L617" i="23"/>
  <c r="L618" i="23"/>
  <c r="L619" i="23"/>
  <c r="L620" i="23"/>
  <c r="L621" i="23"/>
  <c r="L622" i="23"/>
  <c r="L623" i="23"/>
  <c r="L624" i="23"/>
  <c r="L625" i="23"/>
  <c r="L626" i="23"/>
  <c r="L627" i="23"/>
  <c r="L628" i="23"/>
  <c r="L629" i="23"/>
  <c r="L630" i="23"/>
  <c r="L631" i="23"/>
  <c r="L632" i="23"/>
  <c r="L633" i="23"/>
  <c r="L634" i="23"/>
  <c r="L635" i="23"/>
  <c r="L636" i="23"/>
  <c r="L637" i="23"/>
  <c r="L638" i="23"/>
  <c r="L639" i="23"/>
  <c r="L640" i="23"/>
  <c r="L641" i="23"/>
  <c r="L642" i="23"/>
  <c r="L643" i="23"/>
  <c r="L644" i="23"/>
  <c r="L645" i="23"/>
  <c r="L646" i="23"/>
  <c r="L647" i="23"/>
  <c r="L648" i="23"/>
  <c r="L649" i="23"/>
  <c r="L650" i="23"/>
  <c r="L651" i="23"/>
  <c r="L652" i="23"/>
  <c r="L653" i="23"/>
  <c r="L654" i="23"/>
  <c r="L655" i="23"/>
  <c r="L656" i="23"/>
  <c r="L657" i="23"/>
  <c r="L658" i="23"/>
  <c r="L659" i="23"/>
  <c r="L660" i="23"/>
  <c r="L661" i="23"/>
  <c r="L662" i="23"/>
  <c r="L663" i="23"/>
  <c r="L664" i="23"/>
  <c r="L665" i="23"/>
  <c r="L666" i="23"/>
  <c r="L667" i="23"/>
  <c r="L668" i="23"/>
  <c r="L669" i="23"/>
  <c r="L670" i="23"/>
  <c r="L671" i="23"/>
  <c r="L672" i="23"/>
  <c r="L673" i="23"/>
  <c r="L674" i="23"/>
  <c r="L675" i="23"/>
  <c r="L676" i="23"/>
  <c r="L677" i="23"/>
  <c r="L678" i="23"/>
  <c r="L679" i="23"/>
  <c r="L680" i="23"/>
  <c r="L681" i="23"/>
  <c r="L682" i="23"/>
  <c r="L683" i="23"/>
  <c r="L684" i="23"/>
  <c r="L685" i="23"/>
  <c r="L686" i="23"/>
  <c r="L687" i="23"/>
  <c r="L688" i="23"/>
  <c r="L689" i="23"/>
  <c r="L690" i="23"/>
  <c r="L691" i="23"/>
  <c r="L692" i="23"/>
  <c r="L693" i="23"/>
  <c r="L694" i="23"/>
  <c r="L695" i="23"/>
  <c r="L696" i="23"/>
  <c r="L697" i="23"/>
  <c r="L698" i="23"/>
  <c r="L699" i="23"/>
  <c r="L700" i="23"/>
  <c r="L701" i="23"/>
  <c r="L702" i="23"/>
  <c r="L703" i="23"/>
  <c r="L704" i="23"/>
  <c r="L705" i="23"/>
  <c r="L706" i="23"/>
  <c r="L707" i="23"/>
  <c r="L708" i="23"/>
  <c r="L709" i="23"/>
  <c r="L710" i="23"/>
  <c r="L711" i="23"/>
  <c r="L712" i="23"/>
  <c r="L713" i="23"/>
  <c r="L714" i="23"/>
  <c r="L715" i="23"/>
  <c r="L716" i="23"/>
  <c r="L717" i="23"/>
  <c r="L718" i="23"/>
  <c r="L719" i="23"/>
  <c r="L720" i="23"/>
  <c r="L721" i="23"/>
  <c r="L722" i="23"/>
  <c r="L723" i="23"/>
  <c r="L724" i="23"/>
  <c r="L725" i="23"/>
  <c r="L726" i="23"/>
  <c r="L727" i="23"/>
  <c r="L728" i="23"/>
  <c r="L729" i="23"/>
  <c r="L730" i="23"/>
  <c r="L731" i="23"/>
  <c r="L732" i="23"/>
  <c r="L733" i="23"/>
  <c r="L734" i="23"/>
  <c r="L735" i="23"/>
  <c r="L736" i="23"/>
  <c r="L737" i="23"/>
  <c r="L738" i="23"/>
  <c r="L739" i="23"/>
  <c r="L740" i="23"/>
  <c r="L741" i="23"/>
  <c r="L742" i="23"/>
  <c r="L743" i="23"/>
  <c r="L744" i="23"/>
  <c r="L745" i="23"/>
  <c r="L746" i="23"/>
  <c r="L747" i="23"/>
  <c r="L748" i="23"/>
  <c r="L749" i="23"/>
  <c r="L750" i="23"/>
  <c r="L751" i="23"/>
  <c r="L752" i="23"/>
  <c r="L753" i="23"/>
  <c r="L754" i="23"/>
  <c r="L755" i="23"/>
  <c r="L756" i="23"/>
  <c r="L757" i="23"/>
  <c r="L758" i="23"/>
  <c r="L759" i="23"/>
  <c r="L760" i="23"/>
  <c r="L761" i="23"/>
  <c r="L762" i="23"/>
  <c r="L763" i="23"/>
  <c r="L764" i="23"/>
  <c r="L765" i="23"/>
  <c r="L766" i="23"/>
  <c r="L767" i="23"/>
  <c r="L768" i="23"/>
  <c r="L769" i="23"/>
  <c r="L770" i="23"/>
  <c r="L771" i="23"/>
  <c r="L772" i="23"/>
  <c r="L773" i="23"/>
  <c r="L774" i="23"/>
  <c r="L775" i="23"/>
  <c r="L776" i="23"/>
  <c r="L777" i="23"/>
  <c r="L778" i="23"/>
  <c r="L779" i="23"/>
  <c r="L780" i="23"/>
  <c r="L781" i="23"/>
  <c r="L782" i="23"/>
  <c r="L783" i="23"/>
  <c r="L784" i="23"/>
  <c r="L785" i="23"/>
  <c r="L786" i="23"/>
  <c r="L787" i="23"/>
  <c r="L788" i="23"/>
  <c r="L789" i="23"/>
  <c r="L790" i="23"/>
  <c r="L791" i="23"/>
  <c r="L792" i="23"/>
  <c r="L793" i="23"/>
  <c r="L794" i="23"/>
  <c r="L795" i="23"/>
  <c r="L796" i="23"/>
  <c r="L797" i="23"/>
  <c r="L798" i="23"/>
  <c r="L799" i="23"/>
  <c r="L800" i="23"/>
  <c r="L801" i="23"/>
  <c r="L802" i="23"/>
  <c r="L803" i="23"/>
  <c r="L804" i="23"/>
  <c r="L805" i="23"/>
  <c r="L806" i="23"/>
  <c r="L807" i="23"/>
  <c r="L808" i="23"/>
  <c r="L809" i="23"/>
  <c r="L810" i="23"/>
  <c r="L811" i="23"/>
  <c r="L812" i="23"/>
  <c r="L813" i="23"/>
  <c r="L814" i="23"/>
  <c r="L815" i="23"/>
  <c r="L816" i="23"/>
  <c r="L817" i="23"/>
  <c r="L818" i="23"/>
  <c r="L819" i="23"/>
  <c r="L820" i="23"/>
  <c r="L821" i="23"/>
  <c r="L822" i="23"/>
  <c r="L823" i="23"/>
  <c r="L824" i="23"/>
  <c r="L825" i="23"/>
  <c r="L826" i="23"/>
  <c r="L827" i="23"/>
  <c r="L828" i="23"/>
  <c r="L829" i="23"/>
  <c r="L830" i="23"/>
  <c r="L831" i="23"/>
  <c r="L832" i="23"/>
  <c r="L833" i="23"/>
  <c r="L834" i="23"/>
  <c r="L835" i="23"/>
  <c r="L836" i="23"/>
  <c r="L837" i="23"/>
  <c r="L838" i="23"/>
  <c r="L839" i="23"/>
  <c r="L840" i="23"/>
  <c r="L841" i="23"/>
  <c r="L842" i="23"/>
  <c r="L843" i="23"/>
  <c r="L844" i="23"/>
  <c r="L845" i="23"/>
  <c r="L846" i="23"/>
  <c r="L847" i="23"/>
  <c r="L848" i="23"/>
  <c r="L849" i="23"/>
  <c r="L850" i="23"/>
  <c r="L851" i="23"/>
  <c r="L852" i="23"/>
  <c r="L853" i="23"/>
  <c r="L854" i="23"/>
  <c r="L855" i="23"/>
  <c r="L856" i="23"/>
  <c r="L857" i="23"/>
  <c r="L858" i="23"/>
  <c r="L859" i="23"/>
  <c r="L860" i="23"/>
  <c r="L861" i="23"/>
  <c r="L862" i="23"/>
  <c r="L863" i="23"/>
  <c r="L864" i="23"/>
  <c r="L865" i="23"/>
  <c r="L866" i="23"/>
  <c r="L867" i="23"/>
  <c r="L868" i="23"/>
  <c r="L869" i="23"/>
  <c r="L870" i="23"/>
  <c r="L871" i="23"/>
  <c r="L872" i="23"/>
  <c r="L873" i="23"/>
  <c r="L874" i="23"/>
  <c r="L875" i="23"/>
  <c r="L876" i="23"/>
  <c r="L877" i="23"/>
  <c r="L878" i="23"/>
  <c r="L879" i="23"/>
  <c r="L880" i="23"/>
  <c r="L881" i="23"/>
  <c r="L882" i="23"/>
  <c r="L883" i="23"/>
  <c r="L884" i="23"/>
  <c r="L885" i="23"/>
  <c r="L886" i="23"/>
  <c r="L887" i="23"/>
  <c r="L888" i="23"/>
  <c r="L889" i="23"/>
  <c r="L890" i="23"/>
  <c r="L891" i="23"/>
  <c r="L892" i="23"/>
  <c r="L893" i="23"/>
  <c r="L894" i="23"/>
  <c r="L895" i="23"/>
  <c r="L896" i="23"/>
  <c r="L897" i="23"/>
  <c r="L898" i="23"/>
  <c r="L899" i="23"/>
  <c r="L900" i="23"/>
  <c r="L901" i="23"/>
  <c r="L902" i="23"/>
  <c r="L903" i="23"/>
  <c r="L904" i="23"/>
  <c r="L905" i="23"/>
  <c r="L906" i="23"/>
  <c r="L907" i="23"/>
  <c r="L908" i="23"/>
  <c r="L909" i="23"/>
  <c r="L910" i="23"/>
  <c r="L911" i="23"/>
  <c r="L912" i="23"/>
  <c r="L913" i="23"/>
  <c r="L914" i="23"/>
  <c r="L915" i="23"/>
  <c r="L916" i="23"/>
  <c r="L917"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K655" i="23"/>
  <c r="K656" i="23"/>
  <c r="K657" i="23"/>
  <c r="K658" i="23"/>
  <c r="K659" i="23"/>
  <c r="K660" i="23"/>
  <c r="K661" i="23"/>
  <c r="K662" i="23"/>
  <c r="K663" i="23"/>
  <c r="K664" i="23"/>
  <c r="K665" i="23"/>
  <c r="K666" i="23"/>
  <c r="K667" i="23"/>
  <c r="K668" i="23"/>
  <c r="K669" i="23"/>
  <c r="K670" i="23"/>
  <c r="K671" i="23"/>
  <c r="K672" i="23"/>
  <c r="K673" i="23"/>
  <c r="K674" i="23"/>
  <c r="K675" i="23"/>
  <c r="K676" i="23"/>
  <c r="K677" i="23"/>
  <c r="K678" i="23"/>
  <c r="K679" i="23"/>
  <c r="K680" i="23"/>
  <c r="K681" i="23"/>
  <c r="K682" i="23"/>
  <c r="K683" i="23"/>
  <c r="K684" i="23"/>
  <c r="K685" i="23"/>
  <c r="K686" i="23"/>
  <c r="K687" i="23"/>
  <c r="K688" i="23"/>
  <c r="K689" i="23"/>
  <c r="K690" i="23"/>
  <c r="K691" i="23"/>
  <c r="K692" i="23"/>
  <c r="K693" i="23"/>
  <c r="K694" i="23"/>
  <c r="K695" i="23"/>
  <c r="K696" i="23"/>
  <c r="K697" i="23"/>
  <c r="K698" i="23"/>
  <c r="K699" i="23"/>
  <c r="K700" i="23"/>
  <c r="K701" i="23"/>
  <c r="K702" i="23"/>
  <c r="K703" i="23"/>
  <c r="K704" i="23"/>
  <c r="K705" i="23"/>
  <c r="K706" i="23"/>
  <c r="K707" i="23"/>
  <c r="K708" i="23"/>
  <c r="K709" i="23"/>
  <c r="K710" i="23"/>
  <c r="K711" i="23"/>
  <c r="K712" i="23"/>
  <c r="K713" i="23"/>
  <c r="K714" i="23"/>
  <c r="K715" i="23"/>
  <c r="K716" i="23"/>
  <c r="K717" i="23"/>
  <c r="K718" i="23"/>
  <c r="K719" i="23"/>
  <c r="K720" i="23"/>
  <c r="K721" i="23"/>
  <c r="K722" i="23"/>
  <c r="K723" i="23"/>
  <c r="K724" i="23"/>
  <c r="K725" i="23"/>
  <c r="K726" i="23"/>
  <c r="K727" i="23"/>
  <c r="K728" i="23"/>
  <c r="K729" i="23"/>
  <c r="K730" i="23"/>
  <c r="K731" i="23"/>
  <c r="K732" i="23"/>
  <c r="K733" i="23"/>
  <c r="K734" i="23"/>
  <c r="K735" i="23"/>
  <c r="K736" i="23"/>
  <c r="K737" i="23"/>
  <c r="K738" i="23"/>
  <c r="K739" i="23"/>
  <c r="K740" i="23"/>
  <c r="K741" i="23"/>
  <c r="K742" i="23"/>
  <c r="K743" i="23"/>
  <c r="K744" i="23"/>
  <c r="K745" i="23"/>
  <c r="K746" i="23"/>
  <c r="K747" i="23"/>
  <c r="K748" i="23"/>
  <c r="K749" i="23"/>
  <c r="K750" i="23"/>
  <c r="K751" i="23"/>
  <c r="K752" i="23"/>
  <c r="K753" i="23"/>
  <c r="K754" i="23"/>
  <c r="K755" i="23"/>
  <c r="K756" i="23"/>
  <c r="K757" i="23"/>
  <c r="K758" i="23"/>
  <c r="K759" i="23"/>
  <c r="K760" i="23"/>
  <c r="K761" i="23"/>
  <c r="K762" i="23"/>
  <c r="K763" i="23"/>
  <c r="K764" i="23"/>
  <c r="K765" i="23"/>
  <c r="K766" i="23"/>
  <c r="K767" i="23"/>
  <c r="K768" i="23"/>
  <c r="K769" i="23"/>
  <c r="K770" i="23"/>
  <c r="K771" i="23"/>
  <c r="K772" i="23"/>
  <c r="K773" i="23"/>
  <c r="K774" i="23"/>
  <c r="K775" i="23"/>
  <c r="K776" i="23"/>
  <c r="K777" i="23"/>
  <c r="K778" i="23"/>
  <c r="K779" i="23"/>
  <c r="K780" i="23"/>
  <c r="K781" i="23"/>
  <c r="K782" i="23"/>
  <c r="K783" i="23"/>
  <c r="K784" i="23"/>
  <c r="K785" i="23"/>
  <c r="K786" i="23"/>
  <c r="K787" i="23"/>
  <c r="K788" i="23"/>
  <c r="K789" i="23"/>
  <c r="K790" i="23"/>
  <c r="K791" i="23"/>
  <c r="K792" i="23"/>
  <c r="K793" i="23"/>
  <c r="K794" i="23"/>
  <c r="K795" i="23"/>
  <c r="K796" i="23"/>
  <c r="K797" i="23"/>
  <c r="K798" i="23"/>
  <c r="K799" i="23"/>
  <c r="K800" i="23"/>
  <c r="K801" i="23"/>
  <c r="K802" i="23"/>
  <c r="K803" i="23"/>
  <c r="K804" i="23"/>
  <c r="K805" i="23"/>
  <c r="K806" i="23"/>
  <c r="K807" i="23"/>
  <c r="K808" i="23"/>
  <c r="K809" i="23"/>
  <c r="K810" i="23"/>
  <c r="K811" i="23"/>
  <c r="K812" i="23"/>
  <c r="K813" i="23"/>
  <c r="K814" i="23"/>
  <c r="K815" i="23"/>
  <c r="K816" i="23"/>
  <c r="K817" i="23"/>
  <c r="K818" i="23"/>
  <c r="K819" i="23"/>
  <c r="K820" i="23"/>
  <c r="K821" i="23"/>
  <c r="K822" i="23"/>
  <c r="K823" i="23"/>
  <c r="K824" i="23"/>
  <c r="K825" i="23"/>
  <c r="K826" i="23"/>
  <c r="K827" i="23"/>
  <c r="K828" i="23"/>
  <c r="K829" i="23"/>
  <c r="K830" i="23"/>
  <c r="K831" i="23"/>
  <c r="K832" i="23"/>
  <c r="K833" i="23"/>
  <c r="K834" i="23"/>
  <c r="K835" i="23"/>
  <c r="K836" i="23"/>
  <c r="K837" i="23"/>
  <c r="K838" i="23"/>
  <c r="K839" i="23"/>
  <c r="K840" i="23"/>
  <c r="K841" i="23"/>
  <c r="K842" i="23"/>
  <c r="K843" i="23"/>
  <c r="K844" i="23"/>
  <c r="K845" i="23"/>
  <c r="K846" i="23"/>
  <c r="K847" i="23"/>
  <c r="K848" i="23"/>
  <c r="K849" i="23"/>
  <c r="K850" i="23"/>
  <c r="K851" i="23"/>
  <c r="K852" i="23"/>
  <c r="K853" i="23"/>
  <c r="K854" i="23"/>
  <c r="K855" i="23"/>
  <c r="K856" i="23"/>
  <c r="K857" i="23"/>
  <c r="K858" i="23"/>
  <c r="K859" i="23"/>
  <c r="K860" i="23"/>
  <c r="K861" i="23"/>
  <c r="K862" i="23"/>
  <c r="K863" i="23"/>
  <c r="K864" i="23"/>
  <c r="K865" i="23"/>
  <c r="K866" i="23"/>
  <c r="K867" i="23"/>
  <c r="K868" i="23"/>
  <c r="K869" i="23"/>
  <c r="K870" i="23"/>
  <c r="K871" i="23"/>
  <c r="K872" i="23"/>
  <c r="K873" i="23"/>
  <c r="K874" i="23"/>
  <c r="K875" i="23"/>
  <c r="K876" i="23"/>
  <c r="K877" i="23"/>
  <c r="K878" i="23"/>
  <c r="K879" i="23"/>
  <c r="K880" i="23"/>
  <c r="K881" i="23"/>
  <c r="K882" i="23"/>
  <c r="K883" i="23"/>
  <c r="K884" i="23"/>
  <c r="K885" i="23"/>
  <c r="K886" i="23"/>
  <c r="K887" i="23"/>
  <c r="K888" i="23"/>
  <c r="K889" i="23"/>
  <c r="K890" i="23"/>
  <c r="K891" i="23"/>
  <c r="K892" i="23"/>
  <c r="K893" i="23"/>
  <c r="K894" i="23"/>
  <c r="K895" i="23"/>
  <c r="K896" i="23"/>
  <c r="K897" i="23"/>
  <c r="K898" i="23"/>
  <c r="K899" i="23"/>
  <c r="K900" i="23"/>
  <c r="K901" i="23"/>
  <c r="K902" i="23"/>
  <c r="K903" i="23"/>
  <c r="K904" i="23"/>
  <c r="K905" i="23"/>
  <c r="K906" i="23"/>
  <c r="K907" i="23"/>
  <c r="K908" i="23"/>
  <c r="K909" i="23"/>
  <c r="K910" i="23"/>
  <c r="K911" i="23"/>
  <c r="K912" i="23"/>
  <c r="K913" i="23"/>
  <c r="K914" i="23"/>
  <c r="K915" i="23"/>
  <c r="K916" i="23"/>
  <c r="K917"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J849" i="23"/>
  <c r="J850" i="23"/>
  <c r="J851" i="23"/>
  <c r="J852" i="23"/>
  <c r="J853" i="23"/>
  <c r="J854" i="23"/>
  <c r="J855" i="23"/>
  <c r="J856" i="23"/>
  <c r="J857" i="23"/>
  <c r="J858" i="23"/>
  <c r="J859" i="23"/>
  <c r="J860" i="23"/>
  <c r="J861" i="23"/>
  <c r="J862" i="23"/>
  <c r="J863" i="23"/>
  <c r="J864" i="23"/>
  <c r="J865" i="23"/>
  <c r="J866" i="23"/>
  <c r="J867" i="23"/>
  <c r="J868" i="23"/>
  <c r="J869" i="23"/>
  <c r="J870" i="23"/>
  <c r="J871" i="23"/>
  <c r="J872" i="23"/>
  <c r="J873" i="23"/>
  <c r="J874" i="23"/>
  <c r="J875" i="23"/>
  <c r="J876" i="23"/>
  <c r="J877" i="23"/>
  <c r="J878" i="23"/>
  <c r="J879" i="23"/>
  <c r="J880" i="23"/>
  <c r="J881" i="23"/>
  <c r="J882" i="23"/>
  <c r="J883" i="23"/>
  <c r="J884" i="23"/>
  <c r="J885" i="23"/>
  <c r="J886" i="23"/>
  <c r="J887" i="23"/>
  <c r="J888" i="23"/>
  <c r="J889" i="23"/>
  <c r="J890" i="23"/>
  <c r="J891" i="23"/>
  <c r="J892" i="23"/>
  <c r="J893" i="23"/>
  <c r="J894" i="23"/>
  <c r="J895" i="23"/>
  <c r="J896" i="23"/>
  <c r="J897" i="23"/>
  <c r="J898" i="23"/>
  <c r="J899" i="23"/>
  <c r="J900" i="23"/>
  <c r="J901" i="23"/>
  <c r="J902" i="23"/>
  <c r="J903" i="23"/>
  <c r="J904" i="23"/>
  <c r="J905" i="23"/>
  <c r="J906" i="23"/>
  <c r="J907" i="23"/>
  <c r="J908" i="23"/>
  <c r="J909" i="23"/>
  <c r="J910" i="23"/>
  <c r="J911" i="23"/>
  <c r="J912" i="23"/>
  <c r="J913" i="23"/>
  <c r="J914" i="23"/>
  <c r="J915" i="23"/>
  <c r="J916" i="23"/>
  <c r="J917"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8"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35" i="23"/>
  <c r="I336" i="23"/>
  <c r="I337" i="23"/>
  <c r="I338" i="23"/>
  <c r="I339" i="23"/>
  <c r="I340" i="23"/>
  <c r="I341" i="23"/>
  <c r="I342" i="23"/>
  <c r="I343" i="23"/>
  <c r="I344" i="23"/>
  <c r="I345" i="23"/>
  <c r="I346" i="23"/>
  <c r="I347" i="23"/>
  <c r="I348" i="23"/>
  <c r="I349" i="23"/>
  <c r="I350" i="23"/>
  <c r="I351" i="23"/>
  <c r="I352" i="23"/>
  <c r="I353" i="23"/>
  <c r="I354" i="23"/>
  <c r="I355" i="23"/>
  <c r="I356" i="23"/>
  <c r="I357" i="23"/>
  <c r="I358" i="23"/>
  <c r="I359" i="23"/>
  <c r="I360" i="23"/>
  <c r="I361" i="23"/>
  <c r="I362" i="23"/>
  <c r="I363" i="23"/>
  <c r="I364" i="23"/>
  <c r="I365" i="23"/>
  <c r="I366" i="23"/>
  <c r="I367" i="23"/>
  <c r="I368" i="23"/>
  <c r="I369" i="23"/>
  <c r="I370" i="23"/>
  <c r="I371" i="23"/>
  <c r="I372" i="23"/>
  <c r="I373" i="23"/>
  <c r="I374" i="23"/>
  <c r="I375" i="23"/>
  <c r="I376" i="23"/>
  <c r="I377" i="23"/>
  <c r="I378" i="23"/>
  <c r="I379" i="23"/>
  <c r="I380" i="23"/>
  <c r="I381" i="23"/>
  <c r="I382" i="23"/>
  <c r="I383" i="23"/>
  <c r="I384" i="23"/>
  <c r="I385" i="23"/>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436" i="23"/>
  <c r="I437" i="23"/>
  <c r="I438" i="23"/>
  <c r="I439" i="23"/>
  <c r="I440" i="23"/>
  <c r="I441" i="23"/>
  <c r="I442" i="23"/>
  <c r="I443" i="23"/>
  <c r="I444" i="23"/>
  <c r="I445" i="23"/>
  <c r="I446" i="23"/>
  <c r="I447" i="23"/>
  <c r="I448" i="23"/>
  <c r="I449" i="23"/>
  <c r="I450" i="23"/>
  <c r="I451" i="23"/>
  <c r="I452" i="23"/>
  <c r="I453" i="23"/>
  <c r="I454" i="23"/>
  <c r="I455" i="23"/>
  <c r="I456" i="23"/>
  <c r="I457" i="23"/>
  <c r="I458" i="23"/>
  <c r="I459" i="23"/>
  <c r="I460" i="23"/>
  <c r="I461" i="23"/>
  <c r="I462" i="23"/>
  <c r="I463" i="23"/>
  <c r="I464" i="23"/>
  <c r="I465" i="23"/>
  <c r="I466" i="23"/>
  <c r="I467" i="23"/>
  <c r="I468" i="23"/>
  <c r="I469" i="23"/>
  <c r="I470" i="23"/>
  <c r="I471" i="23"/>
  <c r="I472" i="23"/>
  <c r="I473" i="23"/>
  <c r="I474" i="23"/>
  <c r="I475" i="23"/>
  <c r="I476" i="23"/>
  <c r="I477" i="23"/>
  <c r="I478" i="23"/>
  <c r="I479" i="23"/>
  <c r="I480" i="23"/>
  <c r="I481" i="23"/>
  <c r="I482" i="23"/>
  <c r="I483" i="23"/>
  <c r="I484" i="23"/>
  <c r="I485" i="23"/>
  <c r="I486" i="23"/>
  <c r="I487" i="23"/>
  <c r="I488" i="23"/>
  <c r="I489" i="23"/>
  <c r="I490" i="23"/>
  <c r="I491" i="23"/>
  <c r="I492" i="23"/>
  <c r="I493" i="23"/>
  <c r="I494" i="23"/>
  <c r="I495" i="23"/>
  <c r="I496" i="23"/>
  <c r="I497" i="23"/>
  <c r="I498" i="23"/>
  <c r="I499" i="23"/>
  <c r="I500" i="23"/>
  <c r="I501" i="23"/>
  <c r="I502" i="23"/>
  <c r="I503" i="23"/>
  <c r="I504" i="23"/>
  <c r="I505" i="23"/>
  <c r="I506" i="23"/>
  <c r="I507" i="23"/>
  <c r="I508" i="23"/>
  <c r="I509" i="23"/>
  <c r="I510" i="23"/>
  <c r="I511" i="23"/>
  <c r="I512" i="23"/>
  <c r="I513" i="23"/>
  <c r="I514" i="23"/>
  <c r="I515" i="23"/>
  <c r="I516" i="23"/>
  <c r="I517" i="23"/>
  <c r="I518" i="23"/>
  <c r="I519" i="23"/>
  <c r="I520" i="23"/>
  <c r="I521" i="23"/>
  <c r="I522" i="23"/>
  <c r="I523" i="23"/>
  <c r="I524" i="23"/>
  <c r="I525" i="23"/>
  <c r="I526" i="23"/>
  <c r="I527" i="23"/>
  <c r="I528" i="23"/>
  <c r="I529" i="23"/>
  <c r="I530" i="23"/>
  <c r="I531" i="23"/>
  <c r="I532" i="23"/>
  <c r="I533" i="23"/>
  <c r="I534" i="23"/>
  <c r="I535" i="23"/>
  <c r="I536" i="23"/>
  <c r="I537" i="23"/>
  <c r="I538" i="23"/>
  <c r="I539" i="23"/>
  <c r="I540" i="23"/>
  <c r="I541" i="23"/>
  <c r="I542" i="23"/>
  <c r="I543" i="23"/>
  <c r="I544" i="23"/>
  <c r="I545" i="23"/>
  <c r="I546" i="23"/>
  <c r="I547" i="23"/>
  <c r="I548" i="23"/>
  <c r="I549" i="23"/>
  <c r="I550" i="23"/>
  <c r="I551" i="23"/>
  <c r="I552" i="23"/>
  <c r="I553" i="23"/>
  <c r="I554" i="23"/>
  <c r="I555" i="23"/>
  <c r="I556" i="23"/>
  <c r="I557" i="23"/>
  <c r="I558" i="23"/>
  <c r="I559" i="23"/>
  <c r="I560" i="23"/>
  <c r="I561" i="23"/>
  <c r="I562" i="23"/>
  <c r="I563" i="23"/>
  <c r="I564" i="23"/>
  <c r="I565" i="23"/>
  <c r="I566" i="23"/>
  <c r="I567" i="23"/>
  <c r="I568" i="23"/>
  <c r="I569" i="23"/>
  <c r="I570" i="23"/>
  <c r="I571" i="23"/>
  <c r="I572" i="23"/>
  <c r="I573" i="23"/>
  <c r="I574" i="23"/>
  <c r="I575" i="23"/>
  <c r="I576" i="23"/>
  <c r="I577" i="23"/>
  <c r="I578" i="23"/>
  <c r="I579" i="23"/>
  <c r="I580" i="23"/>
  <c r="I581" i="23"/>
  <c r="I582" i="23"/>
  <c r="I583" i="23"/>
  <c r="I584" i="23"/>
  <c r="I585" i="23"/>
  <c r="I586" i="23"/>
  <c r="I587" i="23"/>
  <c r="I588" i="23"/>
  <c r="I589" i="23"/>
  <c r="I590" i="23"/>
  <c r="I591" i="23"/>
  <c r="I592" i="23"/>
  <c r="I593" i="23"/>
  <c r="I594" i="23"/>
  <c r="I595" i="23"/>
  <c r="I596" i="23"/>
  <c r="I597" i="23"/>
  <c r="I598" i="23"/>
  <c r="I599" i="23"/>
  <c r="I600" i="23"/>
  <c r="I601" i="23"/>
  <c r="I602" i="23"/>
  <c r="I603" i="23"/>
  <c r="I604" i="23"/>
  <c r="I605" i="23"/>
  <c r="I606" i="23"/>
  <c r="I607" i="23"/>
  <c r="I608" i="23"/>
  <c r="I609" i="23"/>
  <c r="I610" i="23"/>
  <c r="I611" i="23"/>
  <c r="I612" i="23"/>
  <c r="I613" i="23"/>
  <c r="I614" i="23"/>
  <c r="I615" i="23"/>
  <c r="I616" i="23"/>
  <c r="I617" i="23"/>
  <c r="I618" i="23"/>
  <c r="I619" i="23"/>
  <c r="I620" i="23"/>
  <c r="I621" i="23"/>
  <c r="I622" i="23"/>
  <c r="I623" i="23"/>
  <c r="I624" i="23"/>
  <c r="I625" i="23"/>
  <c r="I626" i="23"/>
  <c r="I627" i="23"/>
  <c r="I628" i="23"/>
  <c r="I629" i="23"/>
  <c r="I630" i="23"/>
  <c r="I631" i="23"/>
  <c r="I632" i="23"/>
  <c r="I633" i="23"/>
  <c r="I634" i="23"/>
  <c r="I635" i="23"/>
  <c r="I636" i="23"/>
  <c r="I637" i="23"/>
  <c r="I638" i="23"/>
  <c r="I639" i="23"/>
  <c r="I640" i="23"/>
  <c r="I641" i="23"/>
  <c r="I642" i="23"/>
  <c r="I643" i="23"/>
  <c r="I644" i="23"/>
  <c r="I645" i="23"/>
  <c r="I646" i="23"/>
  <c r="I647" i="23"/>
  <c r="I648" i="23"/>
  <c r="I649" i="23"/>
  <c r="I650" i="23"/>
  <c r="I651" i="23"/>
  <c r="I652" i="23"/>
  <c r="I653" i="23"/>
  <c r="I654" i="23"/>
  <c r="I655" i="23"/>
  <c r="I656" i="23"/>
  <c r="I657" i="23"/>
  <c r="I658" i="23"/>
  <c r="I659" i="23"/>
  <c r="I660" i="23"/>
  <c r="I661" i="23"/>
  <c r="I662" i="23"/>
  <c r="I663" i="23"/>
  <c r="I664" i="23"/>
  <c r="I665" i="23"/>
  <c r="I666" i="23"/>
  <c r="I667" i="23"/>
  <c r="I668" i="23"/>
  <c r="I669" i="23"/>
  <c r="I670" i="23"/>
  <c r="I671" i="23"/>
  <c r="I672" i="23"/>
  <c r="I673" i="23"/>
  <c r="I674" i="23"/>
  <c r="I675" i="23"/>
  <c r="I676" i="23"/>
  <c r="I677" i="23"/>
  <c r="I678" i="23"/>
  <c r="I679" i="23"/>
  <c r="I680" i="23"/>
  <c r="I681" i="23"/>
  <c r="I682" i="23"/>
  <c r="I683" i="23"/>
  <c r="I684" i="23"/>
  <c r="I685" i="23"/>
  <c r="I686" i="23"/>
  <c r="I687" i="23"/>
  <c r="I688" i="23"/>
  <c r="I689" i="23"/>
  <c r="I690" i="23"/>
  <c r="I691" i="23"/>
  <c r="I692" i="23"/>
  <c r="I693" i="23"/>
  <c r="I694" i="23"/>
  <c r="I695" i="23"/>
  <c r="I696" i="23"/>
  <c r="I697" i="23"/>
  <c r="I698" i="23"/>
  <c r="I699" i="23"/>
  <c r="I700" i="23"/>
  <c r="I701" i="23"/>
  <c r="I702" i="23"/>
  <c r="I703" i="23"/>
  <c r="I704" i="23"/>
  <c r="I705" i="23"/>
  <c r="I706" i="23"/>
  <c r="I707" i="23"/>
  <c r="I708" i="23"/>
  <c r="I709" i="23"/>
  <c r="I710" i="23"/>
  <c r="I711" i="23"/>
  <c r="I712" i="23"/>
  <c r="I713" i="23"/>
  <c r="I714" i="23"/>
  <c r="I715" i="23"/>
  <c r="I716" i="23"/>
  <c r="I717" i="23"/>
  <c r="I718" i="23"/>
  <c r="I719" i="23"/>
  <c r="I720" i="23"/>
  <c r="I721" i="23"/>
  <c r="I722" i="23"/>
  <c r="I723" i="23"/>
  <c r="I724" i="23"/>
  <c r="I725" i="23"/>
  <c r="I726" i="23"/>
  <c r="I727" i="23"/>
  <c r="I728" i="23"/>
  <c r="I729" i="23"/>
  <c r="I730" i="23"/>
  <c r="I731" i="23"/>
  <c r="I732" i="23"/>
  <c r="I733" i="23"/>
  <c r="I734" i="23"/>
  <c r="I735" i="23"/>
  <c r="I736" i="23"/>
  <c r="I737" i="23"/>
  <c r="I738" i="23"/>
  <c r="I739" i="23"/>
  <c r="I740" i="23"/>
  <c r="I741" i="23"/>
  <c r="I742" i="23"/>
  <c r="I743" i="23"/>
  <c r="I744" i="23"/>
  <c r="I745" i="23"/>
  <c r="I746" i="23"/>
  <c r="I747" i="23"/>
  <c r="I748" i="23"/>
  <c r="I749" i="23"/>
  <c r="I750" i="23"/>
  <c r="I751" i="23"/>
  <c r="I752" i="23"/>
  <c r="I753" i="23"/>
  <c r="I754" i="23"/>
  <c r="I755" i="23"/>
  <c r="I756" i="23"/>
  <c r="I757" i="23"/>
  <c r="I758" i="23"/>
  <c r="I759" i="23"/>
  <c r="I760" i="23"/>
  <c r="I761" i="23"/>
  <c r="I762" i="23"/>
  <c r="I763" i="23"/>
  <c r="I764" i="23"/>
  <c r="I765" i="23"/>
  <c r="I766" i="23"/>
  <c r="I767" i="23"/>
  <c r="I768" i="23"/>
  <c r="I769" i="23"/>
  <c r="I770" i="23"/>
  <c r="I771" i="23"/>
  <c r="I772" i="23"/>
  <c r="I773" i="23"/>
  <c r="I774" i="23"/>
  <c r="I775" i="23"/>
  <c r="I776" i="23"/>
  <c r="I777" i="23"/>
  <c r="I778" i="23"/>
  <c r="I779" i="23"/>
  <c r="I780" i="23"/>
  <c r="I781" i="23"/>
  <c r="I782" i="23"/>
  <c r="I783" i="23"/>
  <c r="I784" i="23"/>
  <c r="I785" i="23"/>
  <c r="I786" i="23"/>
  <c r="I787" i="23"/>
  <c r="I788" i="23"/>
  <c r="I789" i="23"/>
  <c r="I790" i="23"/>
  <c r="I791" i="23"/>
  <c r="I792" i="23"/>
  <c r="I793" i="23"/>
  <c r="I794" i="23"/>
  <c r="I795" i="23"/>
  <c r="I796" i="23"/>
  <c r="I797" i="23"/>
  <c r="I798" i="23"/>
  <c r="I799" i="23"/>
  <c r="I800" i="23"/>
  <c r="I801" i="23"/>
  <c r="I802" i="23"/>
  <c r="I803" i="23"/>
  <c r="I804" i="23"/>
  <c r="I805" i="23"/>
  <c r="I806" i="23"/>
  <c r="I807" i="23"/>
  <c r="I808" i="23"/>
  <c r="I809" i="23"/>
  <c r="I810" i="23"/>
  <c r="I811" i="23"/>
  <c r="I812" i="23"/>
  <c r="I813" i="23"/>
  <c r="I814" i="23"/>
  <c r="I815" i="23"/>
  <c r="I816" i="23"/>
  <c r="I817" i="23"/>
  <c r="I818" i="23"/>
  <c r="I819" i="23"/>
  <c r="I820" i="23"/>
  <c r="I821" i="23"/>
  <c r="I822" i="23"/>
  <c r="I823" i="23"/>
  <c r="I824" i="23"/>
  <c r="I825" i="23"/>
  <c r="I826" i="23"/>
  <c r="I827" i="23"/>
  <c r="I828" i="23"/>
  <c r="I829" i="23"/>
  <c r="I830" i="23"/>
  <c r="I831" i="23"/>
  <c r="I832" i="23"/>
  <c r="I833" i="23"/>
  <c r="I834" i="23"/>
  <c r="I835" i="23"/>
  <c r="I836" i="23"/>
  <c r="I837" i="23"/>
  <c r="I838" i="23"/>
  <c r="I839" i="23"/>
  <c r="I840" i="23"/>
  <c r="I841" i="23"/>
  <c r="I842" i="23"/>
  <c r="I843" i="23"/>
  <c r="I844" i="23"/>
  <c r="I845" i="23"/>
  <c r="I846" i="23"/>
  <c r="I847" i="23"/>
  <c r="I848" i="23"/>
  <c r="I849" i="23"/>
  <c r="I850" i="23"/>
  <c r="I851" i="23"/>
  <c r="I852" i="23"/>
  <c r="I853" i="23"/>
  <c r="I854" i="23"/>
  <c r="I855" i="23"/>
  <c r="I856" i="23"/>
  <c r="I857" i="23"/>
  <c r="I858" i="23"/>
  <c r="I859" i="23"/>
  <c r="I860" i="23"/>
  <c r="I861" i="23"/>
  <c r="I862" i="23"/>
  <c r="I863" i="23"/>
  <c r="I864" i="23"/>
  <c r="I865" i="23"/>
  <c r="I866" i="23"/>
  <c r="I867" i="23"/>
  <c r="I868" i="23"/>
  <c r="I869" i="23"/>
  <c r="I870" i="23"/>
  <c r="I871" i="23"/>
  <c r="I872" i="23"/>
  <c r="I873" i="23"/>
  <c r="I874" i="23"/>
  <c r="I875" i="23"/>
  <c r="I876" i="23"/>
  <c r="I877" i="23"/>
  <c r="I878" i="23"/>
  <c r="I879" i="23"/>
  <c r="I880" i="23"/>
  <c r="I881" i="23"/>
  <c r="I882" i="23"/>
  <c r="I883" i="23"/>
  <c r="I884" i="23"/>
  <c r="I885" i="23"/>
  <c r="I886" i="23"/>
  <c r="I887" i="23"/>
  <c r="I888" i="23"/>
  <c r="I889" i="23"/>
  <c r="I890" i="23"/>
  <c r="I891" i="23"/>
  <c r="I892" i="23"/>
  <c r="I893" i="23"/>
  <c r="I894" i="23"/>
  <c r="I895" i="23"/>
  <c r="I896" i="23"/>
  <c r="I897" i="23"/>
  <c r="I898" i="23"/>
  <c r="I899" i="23"/>
  <c r="I900" i="23"/>
  <c r="I901" i="23"/>
  <c r="I902" i="23"/>
  <c r="I903" i="23"/>
  <c r="I904" i="23"/>
  <c r="I905" i="23"/>
  <c r="I906" i="23"/>
  <c r="I907" i="23"/>
  <c r="I908" i="23"/>
  <c r="I909" i="23"/>
  <c r="I910" i="23"/>
  <c r="I911" i="23"/>
  <c r="I912" i="23"/>
  <c r="I913" i="23"/>
  <c r="I914" i="23"/>
  <c r="I915" i="23"/>
  <c r="I916" i="23"/>
  <c r="I917" i="23"/>
  <c r="I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H522" i="23"/>
  <c r="H523" i="23"/>
  <c r="H524" i="23"/>
  <c r="H525" i="23"/>
  <c r="H526" i="23"/>
  <c r="H527" i="23"/>
  <c r="H528" i="23"/>
  <c r="H529"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H578" i="23"/>
  <c r="H579" i="23"/>
  <c r="H580" i="23"/>
  <c r="H581" i="23"/>
  <c r="H582" i="23"/>
  <c r="H583" i="23"/>
  <c r="H584" i="23"/>
  <c r="H585"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H634" i="23"/>
  <c r="H635" i="23"/>
  <c r="H636" i="23"/>
  <c r="H637" i="23"/>
  <c r="H638" i="23"/>
  <c r="H639" i="23"/>
  <c r="H640" i="23"/>
  <c r="H641"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H690" i="23"/>
  <c r="H691" i="23"/>
  <c r="H692" i="23"/>
  <c r="H693" i="23"/>
  <c r="H694" i="23"/>
  <c r="H695" i="23"/>
  <c r="H696" i="23"/>
  <c r="H697"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23" i="23"/>
  <c r="H724" i="23"/>
  <c r="H725" i="23"/>
  <c r="H726" i="23"/>
  <c r="H727" i="23"/>
  <c r="H728" i="23"/>
  <c r="H729" i="23"/>
  <c r="H730" i="23"/>
  <c r="H731" i="23"/>
  <c r="H732" i="23"/>
  <c r="H733" i="23"/>
  <c r="H734" i="23"/>
  <c r="H735" i="23"/>
  <c r="H736" i="23"/>
  <c r="H737" i="23"/>
  <c r="H738" i="23"/>
  <c r="H739" i="23"/>
  <c r="H740" i="23"/>
  <c r="H741" i="23"/>
  <c r="H742" i="23"/>
  <c r="H743" i="23"/>
  <c r="H744" i="23"/>
  <c r="H745" i="23"/>
  <c r="H746" i="23"/>
  <c r="H747" i="23"/>
  <c r="H748" i="23"/>
  <c r="H749" i="23"/>
  <c r="H750" i="23"/>
  <c r="H751" i="23"/>
  <c r="H752" i="23"/>
  <c r="H753" i="23"/>
  <c r="H754" i="23"/>
  <c r="H755" i="23"/>
  <c r="H756" i="23"/>
  <c r="H757" i="23"/>
  <c r="H758" i="23"/>
  <c r="H759" i="23"/>
  <c r="H760" i="23"/>
  <c r="H761" i="23"/>
  <c r="H762" i="23"/>
  <c r="H763" i="23"/>
  <c r="H764" i="23"/>
  <c r="H765" i="23"/>
  <c r="H766" i="23"/>
  <c r="H767" i="23"/>
  <c r="H768" i="23"/>
  <c r="H769" i="23"/>
  <c r="H770" i="23"/>
  <c r="H771" i="23"/>
  <c r="H772" i="23"/>
  <c r="H773" i="23"/>
  <c r="H774" i="23"/>
  <c r="H775" i="23"/>
  <c r="H776" i="23"/>
  <c r="H777" i="23"/>
  <c r="H778" i="23"/>
  <c r="H779" i="23"/>
  <c r="H780" i="23"/>
  <c r="H781" i="23"/>
  <c r="H782" i="23"/>
  <c r="H783" i="23"/>
  <c r="H784" i="23"/>
  <c r="H785" i="23"/>
  <c r="H786" i="23"/>
  <c r="H787" i="23"/>
  <c r="H788" i="23"/>
  <c r="H789" i="23"/>
  <c r="H790" i="23"/>
  <c r="H791" i="23"/>
  <c r="H792" i="23"/>
  <c r="H793" i="23"/>
  <c r="H794" i="23"/>
  <c r="H795" i="23"/>
  <c r="H796" i="23"/>
  <c r="H797" i="23"/>
  <c r="H798" i="23"/>
  <c r="H799" i="23"/>
  <c r="H800" i="23"/>
  <c r="H801" i="23"/>
  <c r="H802" i="23"/>
  <c r="H803" i="23"/>
  <c r="H804" i="23"/>
  <c r="H805" i="23"/>
  <c r="H806" i="23"/>
  <c r="H807" i="23"/>
  <c r="H808" i="23"/>
  <c r="H809" i="23"/>
  <c r="H810" i="23"/>
  <c r="H811" i="23"/>
  <c r="H812" i="23"/>
  <c r="H813" i="23"/>
  <c r="H814" i="23"/>
  <c r="H815" i="23"/>
  <c r="H816" i="23"/>
  <c r="H817" i="23"/>
  <c r="H818" i="23"/>
  <c r="H819" i="23"/>
  <c r="H820" i="23"/>
  <c r="H821" i="23"/>
  <c r="H822" i="23"/>
  <c r="H823" i="23"/>
  <c r="H824" i="23"/>
  <c r="H825" i="23"/>
  <c r="H826" i="23"/>
  <c r="H827" i="23"/>
  <c r="H828" i="23"/>
  <c r="H829" i="23"/>
  <c r="H830" i="23"/>
  <c r="H831" i="23"/>
  <c r="H832" i="23"/>
  <c r="H833" i="23"/>
  <c r="H834" i="23"/>
  <c r="H835" i="23"/>
  <c r="H836" i="23"/>
  <c r="H837" i="23"/>
  <c r="H838" i="23"/>
  <c r="H839" i="23"/>
  <c r="H840" i="23"/>
  <c r="H841" i="23"/>
  <c r="H842" i="23"/>
  <c r="H843" i="23"/>
  <c r="H844" i="23"/>
  <c r="H845" i="23"/>
  <c r="H846" i="23"/>
  <c r="H847" i="23"/>
  <c r="H848" i="23"/>
  <c r="H849" i="23"/>
  <c r="H850" i="23"/>
  <c r="H851" i="23"/>
  <c r="H852" i="23"/>
  <c r="H853" i="23"/>
  <c r="H854" i="23"/>
  <c r="H855" i="23"/>
  <c r="H856" i="23"/>
  <c r="H857" i="23"/>
  <c r="H858" i="23"/>
  <c r="H859" i="23"/>
  <c r="H860" i="23"/>
  <c r="H861" i="23"/>
  <c r="H862" i="23"/>
  <c r="H863" i="23"/>
  <c r="H864" i="23"/>
  <c r="H865" i="23"/>
  <c r="H866" i="23"/>
  <c r="H867" i="23"/>
  <c r="H868" i="23"/>
  <c r="H869" i="23"/>
  <c r="H870" i="23"/>
  <c r="H871" i="23"/>
  <c r="H872" i="23"/>
  <c r="H873" i="23"/>
  <c r="H874" i="23"/>
  <c r="H875" i="23"/>
  <c r="H876" i="23"/>
  <c r="H877" i="23"/>
  <c r="H878" i="23"/>
  <c r="H879" i="23"/>
  <c r="H880" i="23"/>
  <c r="H881" i="23"/>
  <c r="H882" i="23"/>
  <c r="H883" i="23"/>
  <c r="H884" i="23"/>
  <c r="H885" i="23"/>
  <c r="H886" i="23"/>
  <c r="H887" i="23"/>
  <c r="H888" i="23"/>
  <c r="H889" i="23"/>
  <c r="H890" i="23"/>
  <c r="H891" i="23"/>
  <c r="H892" i="23"/>
  <c r="H893" i="23"/>
  <c r="H894" i="23"/>
  <c r="H895" i="23"/>
  <c r="H896" i="23"/>
  <c r="H897" i="23"/>
  <c r="H898" i="23"/>
  <c r="H899" i="23"/>
  <c r="H900" i="23"/>
  <c r="H901" i="23"/>
  <c r="H902" i="23"/>
  <c r="H903" i="23"/>
  <c r="H904" i="23"/>
  <c r="H905" i="23"/>
  <c r="H906" i="23"/>
  <c r="H907" i="23"/>
  <c r="H908" i="23"/>
  <c r="H909" i="23"/>
  <c r="H910" i="23"/>
  <c r="H911" i="23"/>
  <c r="H912" i="23"/>
  <c r="H913" i="23"/>
  <c r="H914" i="23"/>
  <c r="H915" i="23"/>
  <c r="H916" i="23"/>
  <c r="H917" i="23"/>
  <c r="H918" i="23"/>
  <c r="H5" i="23"/>
  <c r="H1" i="23"/>
  <c r="G1" i="23"/>
  <c r="F1" i="23"/>
  <c r="E1"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265" i="23"/>
  <c r="G266" i="23"/>
  <c r="G267" i="23"/>
  <c r="G268" i="23"/>
  <c r="G269" i="23"/>
  <c r="G270" i="23"/>
  <c r="G271" i="23"/>
  <c r="G272" i="23"/>
  <c r="G273" i="23"/>
  <c r="G274" i="23"/>
  <c r="G275" i="23"/>
  <c r="G276" i="23"/>
  <c r="G277" i="23"/>
  <c r="G278" i="23"/>
  <c r="G279" i="23"/>
  <c r="G280" i="23"/>
  <c r="G281" i="23"/>
  <c r="G282" i="23"/>
  <c r="G283" i="23"/>
  <c r="G284" i="23"/>
  <c r="G285" i="23"/>
  <c r="G286" i="23"/>
  <c r="G287" i="23"/>
  <c r="G288" i="23"/>
  <c r="G289" i="23"/>
  <c r="G290" i="23"/>
  <c r="G291" i="23"/>
  <c r="G292" i="23"/>
  <c r="G293" i="23"/>
  <c r="G294" i="23"/>
  <c r="G295" i="23"/>
  <c r="G296" i="23"/>
  <c r="G297" i="23"/>
  <c r="G298" i="23"/>
  <c r="G299" i="23"/>
  <c r="G300" i="23"/>
  <c r="G301" i="23"/>
  <c r="G302" i="23"/>
  <c r="G303" i="23"/>
  <c r="G304" i="23"/>
  <c r="G305" i="23"/>
  <c r="G306" i="23"/>
  <c r="G307" i="23"/>
  <c r="G308" i="23"/>
  <c r="G309" i="23"/>
  <c r="G310" i="23"/>
  <c r="G311" i="23"/>
  <c r="G312" i="23"/>
  <c r="G313" i="23"/>
  <c r="G314" i="23"/>
  <c r="G315" i="23"/>
  <c r="G316" i="23"/>
  <c r="G317" i="23"/>
  <c r="G318" i="23"/>
  <c r="G319" i="23"/>
  <c r="G320" i="23"/>
  <c r="G321" i="23"/>
  <c r="G322" i="23"/>
  <c r="G323" i="23"/>
  <c r="G324" i="23"/>
  <c r="G325" i="23"/>
  <c r="G326" i="23"/>
  <c r="G327" i="23"/>
  <c r="G328" i="23"/>
  <c r="G329" i="23"/>
  <c r="G330" i="23"/>
  <c r="G331" i="23"/>
  <c r="G332" i="23"/>
  <c r="G333" i="23"/>
  <c r="G334" i="23"/>
  <c r="G335" i="23"/>
  <c r="G336" i="23"/>
  <c r="G337" i="23"/>
  <c r="G338" i="23"/>
  <c r="G339" i="23"/>
  <c r="G340" i="23"/>
  <c r="G341" i="23"/>
  <c r="G342" i="23"/>
  <c r="G343" i="23"/>
  <c r="G344" i="23"/>
  <c r="G345" i="23"/>
  <c r="G346" i="23"/>
  <c r="G347" i="23"/>
  <c r="G348" i="23"/>
  <c r="G349" i="23"/>
  <c r="G350" i="23"/>
  <c r="G351" i="23"/>
  <c r="G352" i="23"/>
  <c r="G353" i="23"/>
  <c r="G354" i="23"/>
  <c r="G355" i="23"/>
  <c r="G356" i="23"/>
  <c r="G357" i="23"/>
  <c r="G358" i="23"/>
  <c r="G359" i="23"/>
  <c r="G360" i="23"/>
  <c r="G361" i="23"/>
  <c r="G362" i="23"/>
  <c r="G363" i="23"/>
  <c r="G364" i="23"/>
  <c r="G365" i="23"/>
  <c r="G366" i="23"/>
  <c r="G367" i="23"/>
  <c r="G368" i="23"/>
  <c r="G369" i="23"/>
  <c r="G370" i="23"/>
  <c r="G371"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7" i="23"/>
  <c r="G398" i="23"/>
  <c r="G399" i="23"/>
  <c r="G400" i="23"/>
  <c r="G401" i="23"/>
  <c r="G402" i="23"/>
  <c r="G403" i="23"/>
  <c r="G404" i="23"/>
  <c r="G405" i="23"/>
  <c r="G406" i="23"/>
  <c r="G407" i="23"/>
  <c r="G408" i="23"/>
  <c r="G409" i="23"/>
  <c r="G410" i="23"/>
  <c r="G411" i="23"/>
  <c r="G412" i="23"/>
  <c r="G413" i="23"/>
  <c r="G414" i="23"/>
  <c r="G415" i="23"/>
  <c r="G416" i="23"/>
  <c r="G417" i="23"/>
  <c r="G418" i="23"/>
  <c r="G419" i="23"/>
  <c r="G420" i="23"/>
  <c r="G421" i="23"/>
  <c r="G422" i="23"/>
  <c r="G423" i="23"/>
  <c r="G424" i="23"/>
  <c r="G425" i="23"/>
  <c r="G426" i="23"/>
  <c r="G427" i="23"/>
  <c r="G428" i="23"/>
  <c r="G429" i="23"/>
  <c r="G430" i="23"/>
  <c r="G431" i="23"/>
  <c r="G432" i="23"/>
  <c r="G433" i="23"/>
  <c r="G434" i="23"/>
  <c r="G435" i="23"/>
  <c r="G436" i="23"/>
  <c r="G437" i="23"/>
  <c r="G438" i="23"/>
  <c r="G439" i="23"/>
  <c r="G440" i="23"/>
  <c r="G441" i="23"/>
  <c r="G442" i="23"/>
  <c r="G443" i="23"/>
  <c r="G444" i="23"/>
  <c r="G445" i="23"/>
  <c r="G446" i="23"/>
  <c r="G447" i="23"/>
  <c r="G448" i="23"/>
  <c r="G449" i="23"/>
  <c r="G450" i="23"/>
  <c r="G451" i="23"/>
  <c r="G452" i="23"/>
  <c r="G453" i="23"/>
  <c r="G454" i="23"/>
  <c r="G455" i="23"/>
  <c r="G456" i="23"/>
  <c r="G457" i="23"/>
  <c r="G458" i="23"/>
  <c r="G459" i="23"/>
  <c r="G460" i="23"/>
  <c r="G461" i="23"/>
  <c r="G462" i="23"/>
  <c r="G463" i="23"/>
  <c r="G464" i="23"/>
  <c r="G465" i="23"/>
  <c r="G466" i="23"/>
  <c r="G467" i="23"/>
  <c r="G468" i="23"/>
  <c r="G469" i="23"/>
  <c r="G470" i="23"/>
  <c r="G471" i="23"/>
  <c r="G472" i="23"/>
  <c r="G473" i="23"/>
  <c r="G474" i="23"/>
  <c r="G475" i="23"/>
  <c r="G476" i="23"/>
  <c r="G477" i="23"/>
  <c r="G478" i="23"/>
  <c r="G479" i="23"/>
  <c r="G480" i="23"/>
  <c r="G481" i="23"/>
  <c r="G482" i="23"/>
  <c r="G483"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2"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3" i="23"/>
  <c r="G614" i="23"/>
  <c r="G615" i="23"/>
  <c r="G616" i="23"/>
  <c r="G617" i="23"/>
  <c r="G618" i="23"/>
  <c r="G619" i="23"/>
  <c r="G620" i="23"/>
  <c r="G621" i="23"/>
  <c r="G622" i="23"/>
  <c r="G623" i="23"/>
  <c r="G624" i="23"/>
  <c r="G625" i="23"/>
  <c r="G626" i="23"/>
  <c r="G627" i="23"/>
  <c r="G628" i="23"/>
  <c r="G629" i="23"/>
  <c r="G630" i="23"/>
  <c r="G631" i="23"/>
  <c r="G632" i="23"/>
  <c r="G633" i="23"/>
  <c r="G634" i="23"/>
  <c r="G635" i="23"/>
  <c r="G636" i="23"/>
  <c r="G637" i="23"/>
  <c r="G638" i="23"/>
  <c r="G639" i="23"/>
  <c r="G640" i="23"/>
  <c r="G641" i="23"/>
  <c r="G642" i="23"/>
  <c r="G643" i="23"/>
  <c r="G644" i="23"/>
  <c r="G645" i="23"/>
  <c r="G646" i="23"/>
  <c r="G647" i="23"/>
  <c r="G648" i="23"/>
  <c r="G649" i="23"/>
  <c r="G650" i="23"/>
  <c r="G651" i="23"/>
  <c r="G652" i="23"/>
  <c r="G653" i="23"/>
  <c r="G654" i="23"/>
  <c r="G655" i="23"/>
  <c r="G656" i="23"/>
  <c r="G657" i="23"/>
  <c r="G658" i="23"/>
  <c r="G659" i="23"/>
  <c r="G660" i="23"/>
  <c r="G661" i="23"/>
  <c r="G662" i="23"/>
  <c r="G663" i="23"/>
  <c r="G664" i="23"/>
  <c r="G665" i="23"/>
  <c r="G666" i="23"/>
  <c r="G667" i="23"/>
  <c r="G668" i="23"/>
  <c r="G669" i="23"/>
  <c r="G670" i="23"/>
  <c r="G671" i="23"/>
  <c r="G672" i="23"/>
  <c r="G673" i="23"/>
  <c r="G674" i="23"/>
  <c r="G675" i="23"/>
  <c r="G676" i="23"/>
  <c r="G677" i="23"/>
  <c r="G678" i="23"/>
  <c r="G679" i="23"/>
  <c r="G680" i="23"/>
  <c r="G681" i="23"/>
  <c r="G682" i="23"/>
  <c r="G683" i="23"/>
  <c r="G684" i="23"/>
  <c r="G685" i="23"/>
  <c r="G686" i="23"/>
  <c r="G687" i="23"/>
  <c r="G688" i="23"/>
  <c r="G689" i="23"/>
  <c r="G690" i="23"/>
  <c r="G691" i="23"/>
  <c r="G692" i="23"/>
  <c r="G693" i="23"/>
  <c r="G694" i="23"/>
  <c r="G695" i="23"/>
  <c r="G696" i="23"/>
  <c r="G697" i="23"/>
  <c r="G698" i="23"/>
  <c r="G699" i="23"/>
  <c r="G700" i="23"/>
  <c r="G701" i="23"/>
  <c r="G702" i="23"/>
  <c r="G703" i="23"/>
  <c r="G704" i="23"/>
  <c r="G705" i="23"/>
  <c r="G706" i="23"/>
  <c r="G707" i="23"/>
  <c r="G708" i="23"/>
  <c r="G709" i="23"/>
  <c r="G710" i="23"/>
  <c r="G711" i="23"/>
  <c r="G712" i="23"/>
  <c r="G713" i="23"/>
  <c r="G714" i="23"/>
  <c r="G715" i="23"/>
  <c r="G716" i="23"/>
  <c r="G717" i="23"/>
  <c r="G718" i="23"/>
  <c r="G719" i="23"/>
  <c r="G720" i="23"/>
  <c r="G721" i="23"/>
  <c r="G722" i="23"/>
  <c r="G723" i="23"/>
  <c r="G724" i="23"/>
  <c r="G725" i="23"/>
  <c r="G726" i="23"/>
  <c r="G727" i="23"/>
  <c r="G728" i="23"/>
  <c r="G729" i="23"/>
  <c r="G730" i="23"/>
  <c r="G731" i="23"/>
  <c r="G732" i="23"/>
  <c r="G733" i="23"/>
  <c r="G734" i="23"/>
  <c r="G735" i="23"/>
  <c r="G736" i="23"/>
  <c r="G737" i="23"/>
  <c r="G738" i="23"/>
  <c r="G739" i="23"/>
  <c r="G740" i="23"/>
  <c r="G741" i="23"/>
  <c r="G742" i="23"/>
  <c r="G743" i="23"/>
  <c r="G744" i="23"/>
  <c r="G745" i="23"/>
  <c r="G746" i="23"/>
  <c r="G747" i="23"/>
  <c r="G748" i="23"/>
  <c r="G749" i="23"/>
  <c r="G750" i="23"/>
  <c r="G751" i="23"/>
  <c r="G752" i="23"/>
  <c r="G753" i="23"/>
  <c r="G754" i="23"/>
  <c r="G755" i="23"/>
  <c r="G756" i="23"/>
  <c r="G757" i="23"/>
  <c r="G758" i="23"/>
  <c r="G759" i="23"/>
  <c r="G760" i="23"/>
  <c r="G761" i="23"/>
  <c r="G762" i="23"/>
  <c r="G763" i="23"/>
  <c r="G764" i="23"/>
  <c r="G765" i="23"/>
  <c r="G766" i="23"/>
  <c r="G767" i="23"/>
  <c r="G768" i="23"/>
  <c r="G769" i="23"/>
  <c r="G770" i="23"/>
  <c r="G771" i="23"/>
  <c r="G772" i="23"/>
  <c r="G773" i="23"/>
  <c r="G774" i="23"/>
  <c r="G775" i="23"/>
  <c r="G776" i="23"/>
  <c r="G777" i="23"/>
  <c r="G778" i="23"/>
  <c r="G779" i="23"/>
  <c r="G780" i="23"/>
  <c r="G781" i="23"/>
  <c r="G782" i="23"/>
  <c r="G783" i="23"/>
  <c r="G784" i="23"/>
  <c r="G785" i="23"/>
  <c r="G786" i="23"/>
  <c r="G787" i="23"/>
  <c r="G788" i="23"/>
  <c r="G789" i="23"/>
  <c r="G790" i="23"/>
  <c r="G791" i="23"/>
  <c r="G792" i="23"/>
  <c r="G793" i="23"/>
  <c r="G794" i="23"/>
  <c r="G795" i="23"/>
  <c r="G796" i="23"/>
  <c r="G797" i="23"/>
  <c r="G798" i="23"/>
  <c r="G799" i="23"/>
  <c r="G800" i="23"/>
  <c r="G801" i="23"/>
  <c r="G802" i="23"/>
  <c r="G803" i="23"/>
  <c r="G804" i="23"/>
  <c r="G805" i="23"/>
  <c r="G806" i="23"/>
  <c r="G807" i="23"/>
  <c r="G808" i="23"/>
  <c r="G809" i="23"/>
  <c r="G810" i="23"/>
  <c r="G811" i="23"/>
  <c r="G812" i="23"/>
  <c r="G813" i="23"/>
  <c r="G814" i="23"/>
  <c r="G815" i="23"/>
  <c r="G816" i="23"/>
  <c r="G817" i="23"/>
  <c r="G818" i="23"/>
  <c r="G819" i="23"/>
  <c r="G820" i="23"/>
  <c r="G821" i="23"/>
  <c r="G822" i="23"/>
  <c r="G823" i="23"/>
  <c r="G824" i="23"/>
  <c r="G825" i="23"/>
  <c r="G826" i="23"/>
  <c r="G827" i="23"/>
  <c r="G828" i="23"/>
  <c r="G829" i="23"/>
  <c r="G830" i="23"/>
  <c r="G831" i="23"/>
  <c r="G832" i="23"/>
  <c r="G833" i="23"/>
  <c r="G834" i="23"/>
  <c r="G835" i="23"/>
  <c r="G836" i="23"/>
  <c r="G837" i="23"/>
  <c r="G838" i="23"/>
  <c r="G839" i="23"/>
  <c r="G840" i="23"/>
  <c r="G841" i="23"/>
  <c r="G842" i="23"/>
  <c r="G843" i="23"/>
  <c r="G844" i="23"/>
  <c r="G845" i="23"/>
  <c r="G846" i="23"/>
  <c r="G847" i="23"/>
  <c r="G848" i="23"/>
  <c r="G849" i="23"/>
  <c r="G850" i="23"/>
  <c r="G851" i="23"/>
  <c r="G852" i="23"/>
  <c r="G853" i="23"/>
  <c r="G854" i="23"/>
  <c r="G855" i="23"/>
  <c r="G856" i="23"/>
  <c r="G857" i="23"/>
  <c r="G858" i="23"/>
  <c r="G859" i="23"/>
  <c r="G860" i="23"/>
  <c r="G861" i="23"/>
  <c r="G862" i="23"/>
  <c r="G863" i="23"/>
  <c r="G864" i="23"/>
  <c r="G865" i="23"/>
  <c r="G866" i="23"/>
  <c r="G867" i="23"/>
  <c r="G868" i="23"/>
  <c r="G869" i="23"/>
  <c r="G870" i="23"/>
  <c r="G871" i="23"/>
  <c r="G872" i="23"/>
  <c r="G873" i="23"/>
  <c r="G874" i="23"/>
  <c r="G875" i="23"/>
  <c r="G876" i="23"/>
  <c r="G877" i="23"/>
  <c r="G878" i="23"/>
  <c r="G879" i="23"/>
  <c r="G880" i="23"/>
  <c r="G881" i="23"/>
  <c r="G882" i="23"/>
  <c r="G883" i="23"/>
  <c r="G884" i="23"/>
  <c r="G885" i="23"/>
  <c r="G886" i="23"/>
  <c r="G887" i="23"/>
  <c r="G888" i="23"/>
  <c r="G889" i="23"/>
  <c r="G890" i="23"/>
  <c r="G891" i="23"/>
  <c r="G892" i="23"/>
  <c r="G893" i="23"/>
  <c r="G894" i="23"/>
  <c r="G895" i="23"/>
  <c r="G896" i="23"/>
  <c r="G897" i="23"/>
  <c r="G898" i="23"/>
  <c r="G899" i="23"/>
  <c r="G900" i="23"/>
  <c r="G901" i="23"/>
  <c r="G902" i="23"/>
  <c r="G903" i="23"/>
  <c r="G904" i="23"/>
  <c r="G905" i="23"/>
  <c r="G906" i="23"/>
  <c r="G907" i="23"/>
  <c r="G908" i="23"/>
  <c r="G909" i="23"/>
  <c r="G910" i="23"/>
  <c r="G911" i="23"/>
  <c r="G912" i="23"/>
  <c r="G913" i="23"/>
  <c r="G914" i="23"/>
  <c r="G915" i="23"/>
  <c r="G916" i="23"/>
  <c r="G917" i="23"/>
  <c r="G918" i="23"/>
  <c r="G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112" i="23"/>
  <c r="F113" i="23"/>
  <c r="F114" i="23"/>
  <c r="F115" i="23"/>
  <c r="F116" i="23"/>
  <c r="F117" i="23"/>
  <c r="F118" i="23"/>
  <c r="F119" i="23"/>
  <c r="F120" i="23"/>
  <c r="F121" i="23"/>
  <c r="F122" i="23"/>
  <c r="F123" i="23"/>
  <c r="F124" i="23"/>
  <c r="F125" i="23"/>
  <c r="F126" i="23"/>
  <c r="F127" i="23"/>
  <c r="F128" i="23"/>
  <c r="F129" i="23"/>
  <c r="F130" i="23"/>
  <c r="F131" i="23"/>
  <c r="F132" i="23"/>
  <c r="F133" i="23"/>
  <c r="F134" i="23"/>
  <c r="F135" i="23"/>
  <c r="F136" i="23"/>
  <c r="F137" i="23"/>
  <c r="F138" i="23"/>
  <c r="F139" i="23"/>
  <c r="F140" i="23"/>
  <c r="F141" i="23"/>
  <c r="F142" i="23"/>
  <c r="F143" i="23"/>
  <c r="F144" i="23"/>
  <c r="F145" i="23"/>
  <c r="F146" i="23"/>
  <c r="F147" i="23"/>
  <c r="F148" i="23"/>
  <c r="F149" i="23"/>
  <c r="F150" i="23"/>
  <c r="F151" i="23"/>
  <c r="F152" i="23"/>
  <c r="F153" i="23"/>
  <c r="F154" i="23"/>
  <c r="F155" i="23"/>
  <c r="F156" i="23"/>
  <c r="F157" i="23"/>
  <c r="F158" i="23"/>
  <c r="F159" i="23"/>
  <c r="F160" i="23"/>
  <c r="F161" i="23"/>
  <c r="F162" i="23"/>
  <c r="F163" i="23"/>
  <c r="F164" i="23"/>
  <c r="F165" i="23"/>
  <c r="F166" i="23"/>
  <c r="F167" i="23"/>
  <c r="F168" i="23"/>
  <c r="F169" i="23"/>
  <c r="F170" i="23"/>
  <c r="F171" i="23"/>
  <c r="F172" i="23"/>
  <c r="F173" i="23"/>
  <c r="F174" i="23"/>
  <c r="F175" i="23"/>
  <c r="F176" i="23"/>
  <c r="F177" i="23"/>
  <c r="F178" i="23"/>
  <c r="F179" i="23"/>
  <c r="F180" i="23"/>
  <c r="F181" i="23"/>
  <c r="F182" i="23"/>
  <c r="F183" i="23"/>
  <c r="F184" i="23"/>
  <c r="F185" i="23"/>
  <c r="F186" i="23"/>
  <c r="F187" i="23"/>
  <c r="F188" i="23"/>
  <c r="F189" i="23"/>
  <c r="F190" i="23"/>
  <c r="F191" i="23"/>
  <c r="F192" i="23"/>
  <c r="F193" i="23"/>
  <c r="F194" i="23"/>
  <c r="F195" i="23"/>
  <c r="F196" i="23"/>
  <c r="F197" i="23"/>
  <c r="F198" i="23"/>
  <c r="F199" i="23"/>
  <c r="F200" i="23"/>
  <c r="F201" i="23"/>
  <c r="F202" i="23"/>
  <c r="F203" i="23"/>
  <c r="F204" i="23"/>
  <c r="F205" i="23"/>
  <c r="F206" i="23"/>
  <c r="F207" i="23"/>
  <c r="F208" i="23"/>
  <c r="F209" i="23"/>
  <c r="F210" i="23"/>
  <c r="F211" i="23"/>
  <c r="F212" i="23"/>
  <c r="F213" i="23"/>
  <c r="F214" i="23"/>
  <c r="F215" i="23"/>
  <c r="F216" i="23"/>
  <c r="F217" i="23"/>
  <c r="F218" i="23"/>
  <c r="F219" i="23"/>
  <c r="F220" i="23"/>
  <c r="F221" i="23"/>
  <c r="F222" i="23"/>
  <c r="F223" i="23"/>
  <c r="F224" i="23"/>
  <c r="F225" i="23"/>
  <c r="F226" i="23"/>
  <c r="F227" i="23"/>
  <c r="F228" i="23"/>
  <c r="F229" i="23"/>
  <c r="F230" i="23"/>
  <c r="F231" i="23"/>
  <c r="F232" i="23"/>
  <c r="F233" i="23"/>
  <c r="F234" i="23"/>
  <c r="F235" i="23"/>
  <c r="F236" i="23"/>
  <c r="F237" i="23"/>
  <c r="F238" i="23"/>
  <c r="F239" i="23"/>
  <c r="F240" i="23"/>
  <c r="F241" i="23"/>
  <c r="F242" i="23"/>
  <c r="F243" i="23"/>
  <c r="F244" i="23"/>
  <c r="F245" i="23"/>
  <c r="F246" i="23"/>
  <c r="F247" i="23"/>
  <c r="F248" i="23"/>
  <c r="F249" i="23"/>
  <c r="F250" i="23"/>
  <c r="F251" i="23"/>
  <c r="F252" i="23"/>
  <c r="F253" i="23"/>
  <c r="F254" i="23"/>
  <c r="F255" i="23"/>
  <c r="F256" i="23"/>
  <c r="F257" i="23"/>
  <c r="F258" i="23"/>
  <c r="F259" i="23"/>
  <c r="F260" i="23"/>
  <c r="F261" i="23"/>
  <c r="F262" i="23"/>
  <c r="F263" i="23"/>
  <c r="F264" i="23"/>
  <c r="F265" i="23"/>
  <c r="F266" i="23"/>
  <c r="F267" i="23"/>
  <c r="F268" i="23"/>
  <c r="F269" i="23"/>
  <c r="F270" i="23"/>
  <c r="F271" i="23"/>
  <c r="F272" i="23"/>
  <c r="F273" i="23"/>
  <c r="F274" i="23"/>
  <c r="F275" i="23"/>
  <c r="F276" i="23"/>
  <c r="F277" i="23"/>
  <c r="F278" i="23"/>
  <c r="F279" i="23"/>
  <c r="F280" i="23"/>
  <c r="F281" i="23"/>
  <c r="F282" i="23"/>
  <c r="F283" i="23"/>
  <c r="F284" i="23"/>
  <c r="F285" i="23"/>
  <c r="F286" i="23"/>
  <c r="F287" i="23"/>
  <c r="F288" i="23"/>
  <c r="F289" i="23"/>
  <c r="F290" i="23"/>
  <c r="F291" i="23"/>
  <c r="F292" i="23"/>
  <c r="F293" i="23"/>
  <c r="F294" i="23"/>
  <c r="F295" i="23"/>
  <c r="F296" i="23"/>
  <c r="F297" i="23"/>
  <c r="F298" i="23"/>
  <c r="F299" i="23"/>
  <c r="F300" i="23"/>
  <c r="F301" i="23"/>
  <c r="F302" i="23"/>
  <c r="F303" i="23"/>
  <c r="F304" i="23"/>
  <c r="F305" i="23"/>
  <c r="F306" i="23"/>
  <c r="F307" i="23"/>
  <c r="F308" i="23"/>
  <c r="F309" i="23"/>
  <c r="F310" i="23"/>
  <c r="F311" i="23"/>
  <c r="F312" i="23"/>
  <c r="F313" i="23"/>
  <c r="F314" i="23"/>
  <c r="F315" i="23"/>
  <c r="F316" i="23"/>
  <c r="F317" i="23"/>
  <c r="F318" i="23"/>
  <c r="F319" i="23"/>
  <c r="F320" i="23"/>
  <c r="F321" i="23"/>
  <c r="F322" i="23"/>
  <c r="F323" i="23"/>
  <c r="F324" i="23"/>
  <c r="F325" i="23"/>
  <c r="F326" i="23"/>
  <c r="F327" i="23"/>
  <c r="F328" i="23"/>
  <c r="F329" i="23"/>
  <c r="F330" i="23"/>
  <c r="F331" i="23"/>
  <c r="F332" i="23"/>
  <c r="F333" i="23"/>
  <c r="F334" i="23"/>
  <c r="F335" i="23"/>
  <c r="F336" i="23"/>
  <c r="F337" i="23"/>
  <c r="F338" i="23"/>
  <c r="F339" i="23"/>
  <c r="F340" i="23"/>
  <c r="F341" i="23"/>
  <c r="F342" i="23"/>
  <c r="F343" i="23"/>
  <c r="F344" i="23"/>
  <c r="F345" i="23"/>
  <c r="F346" i="23"/>
  <c r="F347" i="23"/>
  <c r="F348" i="23"/>
  <c r="F349" i="23"/>
  <c r="F350" i="23"/>
  <c r="F351" i="23"/>
  <c r="F352" i="23"/>
  <c r="F353" i="23"/>
  <c r="F354" i="23"/>
  <c r="F355" i="23"/>
  <c r="F356" i="23"/>
  <c r="F357" i="23"/>
  <c r="F358" i="23"/>
  <c r="F359" i="23"/>
  <c r="F360" i="23"/>
  <c r="F361" i="23"/>
  <c r="F362" i="23"/>
  <c r="F363" i="23"/>
  <c r="F364" i="23"/>
  <c r="F365" i="23"/>
  <c r="F366" i="23"/>
  <c r="F367" i="23"/>
  <c r="F368" i="23"/>
  <c r="F369" i="23"/>
  <c r="F370" i="23"/>
  <c r="F371" i="23"/>
  <c r="F372" i="23"/>
  <c r="F373" i="23"/>
  <c r="F374" i="23"/>
  <c r="F375" i="23"/>
  <c r="F376" i="23"/>
  <c r="F377" i="23"/>
  <c r="F378" i="23"/>
  <c r="F379" i="23"/>
  <c r="F380" i="23"/>
  <c r="F381" i="23"/>
  <c r="F382" i="23"/>
  <c r="F383" i="23"/>
  <c r="F384" i="23"/>
  <c r="F385" i="23"/>
  <c r="F386" i="23"/>
  <c r="F387" i="23"/>
  <c r="F388" i="23"/>
  <c r="F389" i="23"/>
  <c r="F390" i="23"/>
  <c r="F391" i="23"/>
  <c r="F392" i="23"/>
  <c r="F393" i="23"/>
  <c r="F394" i="23"/>
  <c r="F395" i="23"/>
  <c r="F396" i="23"/>
  <c r="F397" i="23"/>
  <c r="F398" i="23"/>
  <c r="F399" i="23"/>
  <c r="F400" i="23"/>
  <c r="F401" i="23"/>
  <c r="F402" i="23"/>
  <c r="F403" i="23"/>
  <c r="F404" i="23"/>
  <c r="F405" i="23"/>
  <c r="F406" i="23"/>
  <c r="F407" i="23"/>
  <c r="F408" i="23"/>
  <c r="F409" i="23"/>
  <c r="F410" i="23"/>
  <c r="F411" i="23"/>
  <c r="F412" i="23"/>
  <c r="F413" i="23"/>
  <c r="F414" i="23"/>
  <c r="F415" i="23"/>
  <c r="F416" i="23"/>
  <c r="F417" i="23"/>
  <c r="F418" i="23"/>
  <c r="F419" i="23"/>
  <c r="F420" i="23"/>
  <c r="F421" i="23"/>
  <c r="F422" i="23"/>
  <c r="F423" i="23"/>
  <c r="F424" i="23"/>
  <c r="F425" i="23"/>
  <c r="F426" i="23"/>
  <c r="F427" i="23"/>
  <c r="F428" i="23"/>
  <c r="F429" i="23"/>
  <c r="F430" i="23"/>
  <c r="F431" i="23"/>
  <c r="F432" i="23"/>
  <c r="F433" i="23"/>
  <c r="F434" i="23"/>
  <c r="F435" i="23"/>
  <c r="F436" i="23"/>
  <c r="F437" i="23"/>
  <c r="F438" i="23"/>
  <c r="F439" i="23"/>
  <c r="F440" i="23"/>
  <c r="F441" i="23"/>
  <c r="F442" i="23"/>
  <c r="F443" i="23"/>
  <c r="F444" i="23"/>
  <c r="F445" i="23"/>
  <c r="F446" i="23"/>
  <c r="F447" i="23"/>
  <c r="F448" i="23"/>
  <c r="F449" i="23"/>
  <c r="F450" i="23"/>
  <c r="F451" i="23"/>
  <c r="F452" i="23"/>
  <c r="F453" i="23"/>
  <c r="F454" i="23"/>
  <c r="F455" i="23"/>
  <c r="F456" i="23"/>
  <c r="F457" i="23"/>
  <c r="F458" i="23"/>
  <c r="F459" i="23"/>
  <c r="F460" i="23"/>
  <c r="F461" i="23"/>
  <c r="F462" i="23"/>
  <c r="F463" i="23"/>
  <c r="F464" i="23"/>
  <c r="F465" i="23"/>
  <c r="F466" i="23"/>
  <c r="F467" i="23"/>
  <c r="F468" i="23"/>
  <c r="F469" i="23"/>
  <c r="F470" i="23"/>
  <c r="F471" i="23"/>
  <c r="F472" i="23"/>
  <c r="F473" i="23"/>
  <c r="F474" i="23"/>
  <c r="F475" i="23"/>
  <c r="F476" i="23"/>
  <c r="F477" i="23"/>
  <c r="F478" i="23"/>
  <c r="F479" i="23"/>
  <c r="F480" i="23"/>
  <c r="F481" i="23"/>
  <c r="F482" i="23"/>
  <c r="F483" i="23"/>
  <c r="F484" i="23"/>
  <c r="F485" i="23"/>
  <c r="F486" i="23"/>
  <c r="F487" i="23"/>
  <c r="F488" i="23"/>
  <c r="F489" i="23"/>
  <c r="F490" i="23"/>
  <c r="F491" i="23"/>
  <c r="F492" i="23"/>
  <c r="F493" i="23"/>
  <c r="F494" i="23"/>
  <c r="F495" i="23"/>
  <c r="F496" i="23"/>
  <c r="F497" i="23"/>
  <c r="F498" i="23"/>
  <c r="F499" i="23"/>
  <c r="F500" i="23"/>
  <c r="F501" i="23"/>
  <c r="F502" i="23"/>
  <c r="F503" i="23"/>
  <c r="F504" i="23"/>
  <c r="F505" i="23"/>
  <c r="F506" i="23"/>
  <c r="F507" i="23"/>
  <c r="F508" i="23"/>
  <c r="F509" i="23"/>
  <c r="F510" i="23"/>
  <c r="F511" i="23"/>
  <c r="F512" i="23"/>
  <c r="F513" i="23"/>
  <c r="F514" i="23"/>
  <c r="F515" i="23"/>
  <c r="F516" i="23"/>
  <c r="F517" i="23"/>
  <c r="F518" i="23"/>
  <c r="F519" i="23"/>
  <c r="F520" i="23"/>
  <c r="F521" i="23"/>
  <c r="F522" i="23"/>
  <c r="F523" i="23"/>
  <c r="F524" i="23"/>
  <c r="F525" i="23"/>
  <c r="F526" i="23"/>
  <c r="F527" i="23"/>
  <c r="F528" i="23"/>
  <c r="F529" i="23"/>
  <c r="F530" i="23"/>
  <c r="F531" i="23"/>
  <c r="F532" i="23"/>
  <c r="F533" i="23"/>
  <c r="F534" i="23"/>
  <c r="F535" i="23"/>
  <c r="F536" i="23"/>
  <c r="F537" i="23"/>
  <c r="F538" i="23"/>
  <c r="F539" i="23"/>
  <c r="F540" i="23"/>
  <c r="F541" i="23"/>
  <c r="F542" i="23"/>
  <c r="F543" i="23"/>
  <c r="F544" i="23"/>
  <c r="F545" i="23"/>
  <c r="F546" i="23"/>
  <c r="F547" i="23"/>
  <c r="F548" i="23"/>
  <c r="F549" i="23"/>
  <c r="F550" i="23"/>
  <c r="F551" i="23"/>
  <c r="F552" i="23"/>
  <c r="F553" i="23"/>
  <c r="F554" i="23"/>
  <c r="F555" i="23"/>
  <c r="F556" i="23"/>
  <c r="F557" i="23"/>
  <c r="F558" i="23"/>
  <c r="F559" i="23"/>
  <c r="F560" i="23"/>
  <c r="F561" i="23"/>
  <c r="F562" i="23"/>
  <c r="F563" i="23"/>
  <c r="F564" i="23"/>
  <c r="F565" i="23"/>
  <c r="F566" i="23"/>
  <c r="F567" i="23"/>
  <c r="F568" i="23"/>
  <c r="F569" i="23"/>
  <c r="F570" i="23"/>
  <c r="F571" i="23"/>
  <c r="F572" i="23"/>
  <c r="F573" i="23"/>
  <c r="F574" i="23"/>
  <c r="F575" i="23"/>
  <c r="F576" i="23"/>
  <c r="F577" i="23"/>
  <c r="F578" i="23"/>
  <c r="F579" i="23"/>
  <c r="F580" i="23"/>
  <c r="F581" i="23"/>
  <c r="F582" i="23"/>
  <c r="F583" i="23"/>
  <c r="F584" i="23"/>
  <c r="F585" i="23"/>
  <c r="F586" i="23"/>
  <c r="F587" i="23"/>
  <c r="F588" i="23"/>
  <c r="F589" i="23"/>
  <c r="F590" i="23"/>
  <c r="F591" i="23"/>
  <c r="F592" i="23"/>
  <c r="F593" i="23"/>
  <c r="F594" i="23"/>
  <c r="F595" i="23"/>
  <c r="F596" i="23"/>
  <c r="F597" i="23"/>
  <c r="F598" i="23"/>
  <c r="F599" i="23"/>
  <c r="F600" i="23"/>
  <c r="F601" i="23"/>
  <c r="F602" i="23"/>
  <c r="F603" i="23"/>
  <c r="F604" i="23"/>
  <c r="F605" i="23"/>
  <c r="F606" i="23"/>
  <c r="F607" i="23"/>
  <c r="F608" i="23"/>
  <c r="F609" i="23"/>
  <c r="F610" i="23"/>
  <c r="F611" i="23"/>
  <c r="F612" i="23"/>
  <c r="F613" i="23"/>
  <c r="F614" i="23"/>
  <c r="F615" i="23"/>
  <c r="F616" i="23"/>
  <c r="F617" i="23"/>
  <c r="F618" i="23"/>
  <c r="F619" i="23"/>
  <c r="F620" i="23"/>
  <c r="F621" i="23"/>
  <c r="F622" i="23"/>
  <c r="F623" i="23"/>
  <c r="F624" i="23"/>
  <c r="F625" i="23"/>
  <c r="F626" i="23"/>
  <c r="F627" i="23"/>
  <c r="F628" i="23"/>
  <c r="F629" i="23"/>
  <c r="F630" i="23"/>
  <c r="F631" i="23"/>
  <c r="F632" i="23"/>
  <c r="F633" i="23"/>
  <c r="F634" i="23"/>
  <c r="F635" i="23"/>
  <c r="F636" i="23"/>
  <c r="F637" i="23"/>
  <c r="F638" i="23"/>
  <c r="F639" i="23"/>
  <c r="F640" i="23"/>
  <c r="F641" i="23"/>
  <c r="F642" i="23"/>
  <c r="F643" i="23"/>
  <c r="F644" i="23"/>
  <c r="F645" i="23"/>
  <c r="F646" i="23"/>
  <c r="F647" i="23"/>
  <c r="F648" i="23"/>
  <c r="F649" i="23"/>
  <c r="F650" i="23"/>
  <c r="F651" i="23"/>
  <c r="F652" i="23"/>
  <c r="F653" i="23"/>
  <c r="F654" i="23"/>
  <c r="F655" i="23"/>
  <c r="F656" i="23"/>
  <c r="F657" i="23"/>
  <c r="F658" i="23"/>
  <c r="F659" i="23"/>
  <c r="F660" i="23"/>
  <c r="F661" i="23"/>
  <c r="F662" i="23"/>
  <c r="F663" i="23"/>
  <c r="F664" i="23"/>
  <c r="F665" i="23"/>
  <c r="F666" i="23"/>
  <c r="F667" i="23"/>
  <c r="F668" i="23"/>
  <c r="F669" i="23"/>
  <c r="F670" i="23"/>
  <c r="F671" i="23"/>
  <c r="F672" i="23"/>
  <c r="F673" i="23"/>
  <c r="F674" i="23"/>
  <c r="F675" i="23"/>
  <c r="F676" i="23"/>
  <c r="F677" i="23"/>
  <c r="F678" i="23"/>
  <c r="F679" i="23"/>
  <c r="F680" i="23"/>
  <c r="F681" i="23"/>
  <c r="F682" i="23"/>
  <c r="F683" i="23"/>
  <c r="F684" i="23"/>
  <c r="F685" i="23"/>
  <c r="F686" i="23"/>
  <c r="F687" i="23"/>
  <c r="F688" i="23"/>
  <c r="F689" i="23"/>
  <c r="F690" i="23"/>
  <c r="F691" i="23"/>
  <c r="F692" i="23"/>
  <c r="F693" i="23"/>
  <c r="F694" i="23"/>
  <c r="F695" i="23"/>
  <c r="F696" i="23"/>
  <c r="F697" i="23"/>
  <c r="F698" i="23"/>
  <c r="F699" i="23"/>
  <c r="F700" i="23"/>
  <c r="F701" i="23"/>
  <c r="F702" i="23"/>
  <c r="F703" i="23"/>
  <c r="F704" i="23"/>
  <c r="F705" i="23"/>
  <c r="F706" i="23"/>
  <c r="F707" i="23"/>
  <c r="F708" i="23"/>
  <c r="F709" i="23"/>
  <c r="F710" i="23"/>
  <c r="F711" i="23"/>
  <c r="F712" i="23"/>
  <c r="F713" i="23"/>
  <c r="F714" i="23"/>
  <c r="F715" i="23"/>
  <c r="F716" i="23"/>
  <c r="F717" i="23"/>
  <c r="F718" i="23"/>
  <c r="F719" i="23"/>
  <c r="F720" i="23"/>
  <c r="F721" i="23"/>
  <c r="F722" i="23"/>
  <c r="F723" i="23"/>
  <c r="F724" i="23"/>
  <c r="F725" i="23"/>
  <c r="F726" i="23"/>
  <c r="F727" i="23"/>
  <c r="F728" i="23"/>
  <c r="F729" i="23"/>
  <c r="F730" i="23"/>
  <c r="F731" i="23"/>
  <c r="F732" i="23"/>
  <c r="F733" i="23"/>
  <c r="F734" i="23"/>
  <c r="F735" i="23"/>
  <c r="F736" i="23"/>
  <c r="F737" i="23"/>
  <c r="F738" i="23"/>
  <c r="F739" i="23"/>
  <c r="F740" i="23"/>
  <c r="F741" i="23"/>
  <c r="F742" i="23"/>
  <c r="F743" i="23"/>
  <c r="F744" i="23"/>
  <c r="F745" i="23"/>
  <c r="F746" i="23"/>
  <c r="F747" i="23"/>
  <c r="F748" i="23"/>
  <c r="F749" i="23"/>
  <c r="F750" i="23"/>
  <c r="F751" i="23"/>
  <c r="F752" i="23"/>
  <c r="F753" i="23"/>
  <c r="F754" i="23"/>
  <c r="F755" i="23"/>
  <c r="F756" i="23"/>
  <c r="F757" i="23"/>
  <c r="F758" i="23"/>
  <c r="F759" i="23"/>
  <c r="F760" i="23"/>
  <c r="F761" i="23"/>
  <c r="F762" i="23"/>
  <c r="F763" i="23"/>
  <c r="F764" i="23"/>
  <c r="F765" i="23"/>
  <c r="F766" i="23"/>
  <c r="F767" i="23"/>
  <c r="F768" i="23"/>
  <c r="F769" i="23"/>
  <c r="F770" i="23"/>
  <c r="F771" i="23"/>
  <c r="F772" i="23"/>
  <c r="F773" i="23"/>
  <c r="F774" i="23"/>
  <c r="F775" i="23"/>
  <c r="F776" i="23"/>
  <c r="F777" i="23"/>
  <c r="F778" i="23"/>
  <c r="F779" i="23"/>
  <c r="F780" i="23"/>
  <c r="F781" i="23"/>
  <c r="F782" i="23"/>
  <c r="F783" i="23"/>
  <c r="F784" i="23"/>
  <c r="F785" i="23"/>
  <c r="F786" i="23"/>
  <c r="F787" i="23"/>
  <c r="F788" i="23"/>
  <c r="F789" i="23"/>
  <c r="F790" i="23"/>
  <c r="F791" i="23"/>
  <c r="F792" i="23"/>
  <c r="F793" i="23"/>
  <c r="F794" i="23"/>
  <c r="F795" i="23"/>
  <c r="F796" i="23"/>
  <c r="F797" i="23"/>
  <c r="F798" i="23"/>
  <c r="F799" i="23"/>
  <c r="F800" i="23"/>
  <c r="F801" i="23"/>
  <c r="F802" i="23"/>
  <c r="F803" i="23"/>
  <c r="F804" i="23"/>
  <c r="F805" i="23"/>
  <c r="F806" i="23"/>
  <c r="F807" i="23"/>
  <c r="F808" i="23"/>
  <c r="F809" i="23"/>
  <c r="F810" i="23"/>
  <c r="F811" i="23"/>
  <c r="F812" i="23"/>
  <c r="F813" i="23"/>
  <c r="F814" i="23"/>
  <c r="F815" i="23"/>
  <c r="F816" i="23"/>
  <c r="F817" i="23"/>
  <c r="F818" i="23"/>
  <c r="F819" i="23"/>
  <c r="F820" i="23"/>
  <c r="F821" i="23"/>
  <c r="F822" i="23"/>
  <c r="F823" i="23"/>
  <c r="F824" i="23"/>
  <c r="F825" i="23"/>
  <c r="F826" i="23"/>
  <c r="F827" i="23"/>
  <c r="F828" i="23"/>
  <c r="F829" i="23"/>
  <c r="F830" i="23"/>
  <c r="F831" i="23"/>
  <c r="F832" i="23"/>
  <c r="F833" i="23"/>
  <c r="F834" i="23"/>
  <c r="F835" i="23"/>
  <c r="F836" i="23"/>
  <c r="F837" i="23"/>
  <c r="F838" i="23"/>
  <c r="F839" i="23"/>
  <c r="F840" i="23"/>
  <c r="F841" i="23"/>
  <c r="F842" i="23"/>
  <c r="F843" i="23"/>
  <c r="F844" i="23"/>
  <c r="F845" i="23"/>
  <c r="F846" i="23"/>
  <c r="F847" i="23"/>
  <c r="F848" i="23"/>
  <c r="F849" i="23"/>
  <c r="F850" i="23"/>
  <c r="F851" i="23"/>
  <c r="F852" i="23"/>
  <c r="F853" i="23"/>
  <c r="F854" i="23"/>
  <c r="F855" i="23"/>
  <c r="F856" i="23"/>
  <c r="F857" i="23"/>
  <c r="F858" i="23"/>
  <c r="F859" i="23"/>
  <c r="F860" i="23"/>
  <c r="F861" i="23"/>
  <c r="F862" i="23"/>
  <c r="F863" i="23"/>
  <c r="F864" i="23"/>
  <c r="F865" i="23"/>
  <c r="F866" i="23"/>
  <c r="F867" i="23"/>
  <c r="F868" i="23"/>
  <c r="F869" i="23"/>
  <c r="F870" i="23"/>
  <c r="F871" i="23"/>
  <c r="F872" i="23"/>
  <c r="F873" i="23"/>
  <c r="F874" i="23"/>
  <c r="F875" i="23"/>
  <c r="F876" i="23"/>
  <c r="F877" i="23"/>
  <c r="F878" i="23"/>
  <c r="F879" i="23"/>
  <c r="F880" i="23"/>
  <c r="F881" i="23"/>
  <c r="F882" i="23"/>
  <c r="F883" i="23"/>
  <c r="F884" i="23"/>
  <c r="F885" i="23"/>
  <c r="F886" i="23"/>
  <c r="F887" i="23"/>
  <c r="F888" i="23"/>
  <c r="F889" i="23"/>
  <c r="F890" i="23"/>
  <c r="F891" i="23"/>
  <c r="F892" i="23"/>
  <c r="F893" i="23"/>
  <c r="F894" i="23"/>
  <c r="F895" i="23"/>
  <c r="F896" i="23"/>
  <c r="F897" i="23"/>
  <c r="F898" i="23"/>
  <c r="F899" i="23"/>
  <c r="F900" i="23"/>
  <c r="F901" i="23"/>
  <c r="F902" i="23"/>
  <c r="F903" i="23"/>
  <c r="F904" i="23"/>
  <c r="F905" i="23"/>
  <c r="F906" i="23"/>
  <c r="F907" i="23"/>
  <c r="F908" i="23"/>
  <c r="F909" i="23"/>
  <c r="F910" i="23"/>
  <c r="F911" i="23"/>
  <c r="F912" i="23"/>
  <c r="F913" i="23"/>
  <c r="F914" i="23"/>
  <c r="F915" i="23"/>
  <c r="F916" i="23"/>
  <c r="F917" i="23"/>
  <c r="F918" i="23"/>
  <c r="F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64" i="23"/>
  <c r="E265" i="23"/>
  <c r="E266" i="23"/>
  <c r="E267" i="23"/>
  <c r="E268" i="23"/>
  <c r="E269" i="23"/>
  <c r="E270" i="23"/>
  <c r="E271" i="23"/>
  <c r="E272" i="23"/>
  <c r="E273" i="23"/>
  <c r="E274" i="23"/>
  <c r="E275" i="23"/>
  <c r="E276" i="23"/>
  <c r="E277" i="23"/>
  <c r="E278" i="23"/>
  <c r="E279" i="23"/>
  <c r="E280" i="23"/>
  <c r="E281" i="23"/>
  <c r="E282" i="23"/>
  <c r="E283" i="23"/>
  <c r="E284" i="23"/>
  <c r="E285" i="23"/>
  <c r="E286" i="23"/>
  <c r="E287" i="23"/>
  <c r="E288" i="23"/>
  <c r="E289" i="23"/>
  <c r="E290" i="23"/>
  <c r="E291" i="23"/>
  <c r="E292" i="23"/>
  <c r="E293" i="23"/>
  <c r="E294" i="23"/>
  <c r="E295" i="23"/>
  <c r="E296" i="23"/>
  <c r="E297" i="23"/>
  <c r="E298" i="23"/>
  <c r="E299" i="23"/>
  <c r="E300" i="23"/>
  <c r="E301" i="23"/>
  <c r="E302" i="23"/>
  <c r="E303" i="23"/>
  <c r="E304" i="23"/>
  <c r="E305" i="23"/>
  <c r="E306" i="23"/>
  <c r="E307" i="23"/>
  <c r="E308" i="23"/>
  <c r="E309" i="23"/>
  <c r="E310" i="23"/>
  <c r="E311" i="23"/>
  <c r="E312" i="23"/>
  <c r="E313" i="23"/>
  <c r="E314" i="23"/>
  <c r="E315" i="23"/>
  <c r="E316" i="23"/>
  <c r="E317" i="23"/>
  <c r="E318" i="23"/>
  <c r="E319" i="23"/>
  <c r="E320" i="23"/>
  <c r="E321" i="23"/>
  <c r="E322" i="23"/>
  <c r="E323" i="23"/>
  <c r="E324" i="23"/>
  <c r="E325" i="23"/>
  <c r="E326" i="23"/>
  <c r="E327" i="23"/>
  <c r="E328" i="23"/>
  <c r="E329" i="23"/>
  <c r="E330" i="23"/>
  <c r="E331" i="23"/>
  <c r="E332" i="23"/>
  <c r="E333" i="23"/>
  <c r="E334" i="23"/>
  <c r="E335" i="23"/>
  <c r="E336" i="23"/>
  <c r="E337" i="23"/>
  <c r="E338" i="23"/>
  <c r="E339" i="23"/>
  <c r="E340" i="23"/>
  <c r="E341" i="23"/>
  <c r="E342" i="23"/>
  <c r="E343" i="23"/>
  <c r="E344" i="23"/>
  <c r="E345" i="23"/>
  <c r="E346" i="23"/>
  <c r="E347" i="23"/>
  <c r="E348" i="23"/>
  <c r="E349" i="23"/>
  <c r="E350" i="23"/>
  <c r="E351" i="23"/>
  <c r="E352" i="23"/>
  <c r="E353" i="23"/>
  <c r="E354" i="23"/>
  <c r="E355" i="23"/>
  <c r="E356" i="23"/>
  <c r="E357" i="23"/>
  <c r="E358" i="23"/>
  <c r="E359" i="23"/>
  <c r="E360" i="23"/>
  <c r="E361" i="23"/>
  <c r="E362" i="23"/>
  <c r="E363" i="23"/>
  <c r="E364" i="23"/>
  <c r="E365" i="23"/>
  <c r="E366" i="23"/>
  <c r="E367" i="23"/>
  <c r="E368" i="23"/>
  <c r="E369" i="23"/>
  <c r="E370" i="23"/>
  <c r="E371" i="23"/>
  <c r="E372" i="23"/>
  <c r="E373" i="23"/>
  <c r="E374" i="23"/>
  <c r="E375" i="23"/>
  <c r="E376" i="23"/>
  <c r="E377" i="23"/>
  <c r="E378" i="23"/>
  <c r="E379" i="23"/>
  <c r="E380" i="23"/>
  <c r="E381" i="23"/>
  <c r="E382" i="23"/>
  <c r="E383" i="23"/>
  <c r="E384" i="23"/>
  <c r="E385" i="23"/>
  <c r="E386" i="23"/>
  <c r="E387" i="23"/>
  <c r="E388" i="23"/>
  <c r="E389" i="23"/>
  <c r="E390" i="23"/>
  <c r="E391" i="23"/>
  <c r="E392" i="23"/>
  <c r="E393" i="23"/>
  <c r="E394" i="23"/>
  <c r="E395" i="23"/>
  <c r="E396" i="23"/>
  <c r="E397" i="23"/>
  <c r="E398" i="23"/>
  <c r="E399" i="23"/>
  <c r="E400" i="23"/>
  <c r="E401" i="23"/>
  <c r="E402" i="23"/>
  <c r="E403" i="23"/>
  <c r="E404" i="23"/>
  <c r="E405" i="23"/>
  <c r="E406" i="23"/>
  <c r="E407" i="23"/>
  <c r="E408" i="23"/>
  <c r="E409" i="23"/>
  <c r="E410" i="23"/>
  <c r="E411" i="23"/>
  <c r="E412" i="23"/>
  <c r="E413" i="23"/>
  <c r="E414" i="23"/>
  <c r="E415" i="23"/>
  <c r="E416" i="23"/>
  <c r="E417" i="23"/>
  <c r="E418" i="23"/>
  <c r="E419" i="23"/>
  <c r="E420" i="23"/>
  <c r="E421" i="23"/>
  <c r="E422" i="23"/>
  <c r="E423" i="23"/>
  <c r="E424" i="23"/>
  <c r="E425" i="23"/>
  <c r="E426" i="23"/>
  <c r="E427" i="23"/>
  <c r="E428" i="23"/>
  <c r="E429" i="23"/>
  <c r="E430" i="23"/>
  <c r="E431" i="23"/>
  <c r="E432" i="23"/>
  <c r="E433" i="23"/>
  <c r="E434" i="23"/>
  <c r="E435" i="23"/>
  <c r="E436" i="23"/>
  <c r="E437" i="23"/>
  <c r="E438" i="23"/>
  <c r="E439" i="23"/>
  <c r="E440" i="23"/>
  <c r="E441" i="23"/>
  <c r="E442" i="23"/>
  <c r="E443" i="23"/>
  <c r="E444" i="23"/>
  <c r="E445" i="23"/>
  <c r="E446" i="23"/>
  <c r="E447" i="23"/>
  <c r="E448" i="23"/>
  <c r="E449" i="23"/>
  <c r="E450" i="23"/>
  <c r="E451" i="23"/>
  <c r="E452" i="23"/>
  <c r="E453" i="23"/>
  <c r="E454" i="23"/>
  <c r="E455" i="23"/>
  <c r="E456" i="23"/>
  <c r="E457" i="23"/>
  <c r="E458" i="23"/>
  <c r="E459" i="23"/>
  <c r="E460" i="23"/>
  <c r="E461" i="23"/>
  <c r="E462" i="23"/>
  <c r="E463" i="23"/>
  <c r="E464" i="23"/>
  <c r="E465" i="23"/>
  <c r="E466" i="23"/>
  <c r="E467" i="23"/>
  <c r="E468" i="23"/>
  <c r="E469" i="23"/>
  <c r="E470" i="23"/>
  <c r="E471" i="23"/>
  <c r="E472" i="23"/>
  <c r="E473" i="23"/>
  <c r="E474" i="23"/>
  <c r="E475" i="23"/>
  <c r="E476" i="23"/>
  <c r="E477" i="23"/>
  <c r="E478" i="23"/>
  <c r="E479" i="23"/>
  <c r="E480" i="23"/>
  <c r="E481" i="23"/>
  <c r="E482" i="23"/>
  <c r="E483" i="23"/>
  <c r="E484" i="23"/>
  <c r="E485" i="23"/>
  <c r="E486" i="23"/>
  <c r="E487" i="23"/>
  <c r="E488" i="23"/>
  <c r="E489" i="23"/>
  <c r="E490" i="23"/>
  <c r="E491" i="23"/>
  <c r="E492" i="23"/>
  <c r="E493" i="23"/>
  <c r="E494" i="23"/>
  <c r="E495" i="23"/>
  <c r="E496" i="23"/>
  <c r="E497" i="23"/>
  <c r="E498" i="23"/>
  <c r="E499" i="23"/>
  <c r="E500" i="23"/>
  <c r="E501" i="23"/>
  <c r="E502" i="23"/>
  <c r="E503" i="23"/>
  <c r="E504" i="23"/>
  <c r="E505" i="23"/>
  <c r="E506" i="23"/>
  <c r="E507" i="23"/>
  <c r="E508" i="23"/>
  <c r="E509" i="23"/>
  <c r="E510" i="23"/>
  <c r="E511" i="23"/>
  <c r="E512" i="23"/>
  <c r="E513" i="23"/>
  <c r="E514" i="23"/>
  <c r="E515" i="23"/>
  <c r="E516" i="23"/>
  <c r="E517" i="23"/>
  <c r="E518" i="23"/>
  <c r="E519" i="23"/>
  <c r="E520" i="23"/>
  <c r="E521" i="23"/>
  <c r="E522" i="23"/>
  <c r="E523" i="23"/>
  <c r="E524" i="23"/>
  <c r="E525" i="23"/>
  <c r="E526" i="23"/>
  <c r="E527" i="23"/>
  <c r="E528" i="23"/>
  <c r="E529" i="23"/>
  <c r="E530" i="23"/>
  <c r="E531" i="23"/>
  <c r="E532" i="23"/>
  <c r="E533" i="23"/>
  <c r="E534" i="23"/>
  <c r="E535" i="23"/>
  <c r="E536" i="23"/>
  <c r="E537" i="23"/>
  <c r="E538" i="23"/>
  <c r="E539" i="23"/>
  <c r="E540" i="23"/>
  <c r="E541" i="23"/>
  <c r="E542" i="23"/>
  <c r="E543" i="23"/>
  <c r="E544" i="23"/>
  <c r="E545" i="23"/>
  <c r="E546" i="23"/>
  <c r="E547" i="23"/>
  <c r="E548" i="23"/>
  <c r="E549" i="23"/>
  <c r="E550" i="23"/>
  <c r="E551" i="23"/>
  <c r="E552" i="23"/>
  <c r="E553" i="23"/>
  <c r="E554" i="23"/>
  <c r="E555" i="23"/>
  <c r="E556" i="23"/>
  <c r="E557" i="23"/>
  <c r="E558" i="23"/>
  <c r="E559" i="23"/>
  <c r="E560" i="23"/>
  <c r="E561" i="23"/>
  <c r="E562" i="23"/>
  <c r="E563" i="23"/>
  <c r="E564" i="23"/>
  <c r="E565" i="23"/>
  <c r="E566" i="23"/>
  <c r="E567" i="23"/>
  <c r="E568" i="23"/>
  <c r="E569" i="23"/>
  <c r="E570" i="23"/>
  <c r="E571" i="23"/>
  <c r="E572" i="23"/>
  <c r="E573" i="23"/>
  <c r="E574" i="23"/>
  <c r="E575" i="23"/>
  <c r="E576" i="23"/>
  <c r="E577" i="23"/>
  <c r="E578" i="23"/>
  <c r="E579" i="23"/>
  <c r="E580" i="23"/>
  <c r="E581" i="23"/>
  <c r="E582" i="23"/>
  <c r="E583" i="23"/>
  <c r="E584" i="23"/>
  <c r="E585" i="23"/>
  <c r="E586" i="23"/>
  <c r="E587" i="23"/>
  <c r="E588" i="23"/>
  <c r="E589" i="23"/>
  <c r="E590" i="23"/>
  <c r="E591" i="23"/>
  <c r="E592" i="23"/>
  <c r="E593" i="23"/>
  <c r="E594" i="23"/>
  <c r="E595" i="23"/>
  <c r="E596" i="23"/>
  <c r="E597" i="23"/>
  <c r="E598" i="23"/>
  <c r="E599" i="23"/>
  <c r="E600" i="23"/>
  <c r="E601" i="23"/>
  <c r="E602" i="23"/>
  <c r="E603" i="23"/>
  <c r="E604" i="23"/>
  <c r="E605" i="23"/>
  <c r="E606" i="23"/>
  <c r="E607" i="23"/>
  <c r="E608" i="23"/>
  <c r="E609" i="23"/>
  <c r="E610" i="23"/>
  <c r="E611" i="23"/>
  <c r="E612" i="23"/>
  <c r="E613" i="23"/>
  <c r="E614" i="23"/>
  <c r="E615" i="23"/>
  <c r="E616" i="23"/>
  <c r="E617" i="23"/>
  <c r="E618" i="23"/>
  <c r="E619" i="23"/>
  <c r="E620" i="23"/>
  <c r="E621" i="23"/>
  <c r="E622" i="23"/>
  <c r="E623" i="23"/>
  <c r="E624" i="23"/>
  <c r="E625" i="23"/>
  <c r="E626" i="23"/>
  <c r="E627" i="23"/>
  <c r="E628" i="23"/>
  <c r="E629" i="23"/>
  <c r="E630" i="23"/>
  <c r="E631" i="23"/>
  <c r="E632" i="23"/>
  <c r="E633" i="23"/>
  <c r="E634" i="23"/>
  <c r="E635" i="23"/>
  <c r="E636" i="23"/>
  <c r="E637" i="23"/>
  <c r="E638" i="23"/>
  <c r="E639" i="23"/>
  <c r="E640" i="23"/>
  <c r="E641" i="23"/>
  <c r="E642" i="23"/>
  <c r="E643" i="23"/>
  <c r="E644" i="23"/>
  <c r="E645" i="23"/>
  <c r="E646" i="23"/>
  <c r="E647" i="23"/>
  <c r="E648" i="23"/>
  <c r="E649" i="23"/>
  <c r="E650" i="23"/>
  <c r="E651" i="23"/>
  <c r="E652" i="23"/>
  <c r="E653" i="23"/>
  <c r="E654" i="23"/>
  <c r="E655" i="23"/>
  <c r="E656" i="23"/>
  <c r="E657" i="23"/>
  <c r="E658" i="23"/>
  <c r="E659" i="23"/>
  <c r="E660" i="23"/>
  <c r="E661" i="23"/>
  <c r="E662" i="23"/>
  <c r="E663" i="23"/>
  <c r="E664" i="23"/>
  <c r="E665" i="23"/>
  <c r="E666" i="23"/>
  <c r="E667" i="23"/>
  <c r="E668" i="23"/>
  <c r="E669" i="23"/>
  <c r="E670" i="23"/>
  <c r="E671" i="23"/>
  <c r="E672" i="23"/>
  <c r="E673" i="23"/>
  <c r="E674" i="23"/>
  <c r="E675" i="23"/>
  <c r="E676" i="23"/>
  <c r="E677" i="23"/>
  <c r="E678" i="23"/>
  <c r="E679" i="23"/>
  <c r="E680" i="23"/>
  <c r="E681" i="23"/>
  <c r="E682" i="23"/>
  <c r="E683" i="23"/>
  <c r="E684" i="23"/>
  <c r="E685" i="23"/>
  <c r="E686" i="23"/>
  <c r="E687" i="23"/>
  <c r="E688" i="23"/>
  <c r="E689" i="23"/>
  <c r="E690" i="23"/>
  <c r="E691" i="23"/>
  <c r="E692" i="23"/>
  <c r="E693" i="23"/>
  <c r="E694" i="23"/>
  <c r="E695" i="23"/>
  <c r="E696" i="23"/>
  <c r="E697" i="23"/>
  <c r="E698" i="23"/>
  <c r="E699" i="23"/>
  <c r="E700" i="23"/>
  <c r="E701" i="23"/>
  <c r="E702" i="23"/>
  <c r="E703" i="23"/>
  <c r="E704" i="23"/>
  <c r="E705" i="23"/>
  <c r="E706" i="23"/>
  <c r="E707" i="23"/>
  <c r="E708" i="23"/>
  <c r="E709" i="23"/>
  <c r="E710" i="23"/>
  <c r="E711" i="23"/>
  <c r="E712" i="23"/>
  <c r="E713" i="23"/>
  <c r="E714" i="23"/>
  <c r="E715" i="23"/>
  <c r="E716" i="23"/>
  <c r="E717" i="23"/>
  <c r="E718" i="23"/>
  <c r="E719" i="23"/>
  <c r="E720" i="23"/>
  <c r="E721" i="23"/>
  <c r="E722" i="23"/>
  <c r="E723" i="23"/>
  <c r="E724" i="23"/>
  <c r="E725" i="23"/>
  <c r="E726" i="23"/>
  <c r="E727" i="23"/>
  <c r="E728" i="23"/>
  <c r="E729" i="23"/>
  <c r="E730" i="23"/>
  <c r="E731" i="23"/>
  <c r="E732" i="23"/>
  <c r="E733" i="23"/>
  <c r="E734" i="23"/>
  <c r="E735" i="23"/>
  <c r="E736" i="23"/>
  <c r="E737" i="23"/>
  <c r="E738" i="23"/>
  <c r="E739" i="23"/>
  <c r="E740" i="23"/>
  <c r="E741" i="23"/>
  <c r="E742" i="23"/>
  <c r="E743" i="23"/>
  <c r="E744" i="23"/>
  <c r="E745" i="23"/>
  <c r="E746" i="23"/>
  <c r="E747" i="23"/>
  <c r="E748" i="23"/>
  <c r="E749" i="23"/>
  <c r="E750" i="23"/>
  <c r="E751" i="23"/>
  <c r="E752" i="23"/>
  <c r="E753" i="23"/>
  <c r="E754" i="23"/>
  <c r="E755" i="23"/>
  <c r="E756" i="23"/>
  <c r="E757" i="23"/>
  <c r="E758" i="23"/>
  <c r="E759" i="23"/>
  <c r="E760" i="23"/>
  <c r="E761" i="23"/>
  <c r="E762" i="23"/>
  <c r="E763" i="23"/>
  <c r="E764" i="23"/>
  <c r="E765" i="23"/>
  <c r="E766" i="23"/>
  <c r="E767" i="23"/>
  <c r="E768" i="23"/>
  <c r="E769" i="23"/>
  <c r="E770" i="23"/>
  <c r="E771" i="23"/>
  <c r="E772" i="23"/>
  <c r="E773" i="23"/>
  <c r="E774" i="23"/>
  <c r="E775" i="23"/>
  <c r="E776" i="23"/>
  <c r="E777" i="23"/>
  <c r="E778" i="23"/>
  <c r="E779" i="23"/>
  <c r="E780" i="23"/>
  <c r="E781" i="23"/>
  <c r="E782" i="23"/>
  <c r="E783" i="23"/>
  <c r="E784" i="23"/>
  <c r="E785" i="23"/>
  <c r="E786" i="23"/>
  <c r="E787" i="23"/>
  <c r="E788" i="23"/>
  <c r="E789" i="23"/>
  <c r="E790" i="23"/>
  <c r="E791" i="23"/>
  <c r="E792" i="23"/>
  <c r="E793" i="23"/>
  <c r="E794" i="23"/>
  <c r="E795" i="23"/>
  <c r="E796" i="23"/>
  <c r="E797" i="23"/>
  <c r="E798" i="23"/>
  <c r="E799" i="23"/>
  <c r="E800" i="23"/>
  <c r="E801" i="23"/>
  <c r="E802" i="23"/>
  <c r="E803" i="23"/>
  <c r="E804" i="23"/>
  <c r="E805" i="23"/>
  <c r="E806" i="23"/>
  <c r="E807" i="23"/>
  <c r="E808" i="23"/>
  <c r="E809" i="23"/>
  <c r="E810" i="23"/>
  <c r="E811" i="23"/>
  <c r="E812" i="23"/>
  <c r="E813" i="23"/>
  <c r="E814" i="23"/>
  <c r="E815" i="23"/>
  <c r="E816" i="23"/>
  <c r="E817" i="23"/>
  <c r="E818" i="23"/>
  <c r="E819" i="23"/>
  <c r="E820" i="23"/>
  <c r="E821" i="23"/>
  <c r="E822" i="23"/>
  <c r="E823" i="23"/>
  <c r="E824" i="23"/>
  <c r="E825" i="23"/>
  <c r="E826" i="23"/>
  <c r="E827" i="23"/>
  <c r="E828" i="23"/>
  <c r="E829" i="23"/>
  <c r="E830" i="23"/>
  <c r="E831" i="23"/>
  <c r="E832" i="23"/>
  <c r="E833" i="23"/>
  <c r="E834" i="23"/>
  <c r="E835" i="23"/>
  <c r="E836" i="23"/>
  <c r="E837" i="23"/>
  <c r="E838" i="23"/>
  <c r="E839" i="23"/>
  <c r="E840" i="23"/>
  <c r="E841" i="23"/>
  <c r="E842" i="23"/>
  <c r="E843" i="23"/>
  <c r="E844" i="23"/>
  <c r="E845" i="23"/>
  <c r="E846" i="23"/>
  <c r="E847" i="23"/>
  <c r="E848" i="23"/>
  <c r="E849" i="23"/>
  <c r="E850" i="23"/>
  <c r="E851" i="23"/>
  <c r="E852" i="23"/>
  <c r="E853" i="23"/>
  <c r="E854" i="23"/>
  <c r="E855" i="23"/>
  <c r="E856" i="23"/>
  <c r="E857" i="23"/>
  <c r="E858" i="23"/>
  <c r="E859" i="23"/>
  <c r="E860" i="23"/>
  <c r="E861" i="23"/>
  <c r="E862" i="23"/>
  <c r="E863" i="23"/>
  <c r="E864" i="23"/>
  <c r="E865" i="23"/>
  <c r="E866" i="23"/>
  <c r="E867" i="23"/>
  <c r="E868" i="23"/>
  <c r="E869" i="23"/>
  <c r="E870" i="23"/>
  <c r="E871" i="23"/>
  <c r="E872" i="23"/>
  <c r="E873" i="23"/>
  <c r="E874" i="23"/>
  <c r="E875" i="23"/>
  <c r="E876" i="23"/>
  <c r="E877" i="23"/>
  <c r="E878" i="23"/>
  <c r="E879" i="23"/>
  <c r="E880" i="23"/>
  <c r="E881" i="23"/>
  <c r="E882" i="23"/>
  <c r="E883" i="23"/>
  <c r="E884" i="23"/>
  <c r="E885" i="23"/>
  <c r="E886" i="23"/>
  <c r="E887" i="23"/>
  <c r="E888" i="23"/>
  <c r="E889" i="23"/>
  <c r="E890" i="23"/>
  <c r="E891" i="23"/>
  <c r="E892" i="23"/>
  <c r="E893" i="23"/>
  <c r="E894" i="23"/>
  <c r="E895" i="23"/>
  <c r="E896" i="23"/>
  <c r="E897" i="23"/>
  <c r="E898" i="23"/>
  <c r="E899" i="23"/>
  <c r="E900" i="23"/>
  <c r="E901" i="23"/>
  <c r="E902" i="23"/>
  <c r="E903" i="23"/>
  <c r="E904" i="23"/>
  <c r="E905" i="23"/>
  <c r="E906" i="23"/>
  <c r="E907" i="23"/>
  <c r="E908" i="23"/>
  <c r="E909" i="23"/>
  <c r="E910" i="23"/>
  <c r="E911" i="23"/>
  <c r="E912" i="23"/>
  <c r="E913" i="23"/>
  <c r="E914" i="23"/>
  <c r="E915" i="23"/>
  <c r="E916" i="23"/>
  <c r="E917" i="23"/>
  <c r="E918" i="23"/>
  <c r="E5" i="23"/>
  <c r="D6" i="23"/>
  <c r="D7"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212" i="23"/>
  <c r="D213" i="23"/>
  <c r="D214" i="23"/>
  <c r="D215" i="23"/>
  <c r="D216" i="23"/>
  <c r="D217" i="23"/>
  <c r="D218" i="23"/>
  <c r="D219" i="23"/>
  <c r="D220" i="23"/>
  <c r="D221" i="23"/>
  <c r="D222" i="23"/>
  <c r="D223" i="23"/>
  <c r="D224" i="23"/>
  <c r="D225" i="23"/>
  <c r="D226" i="23"/>
  <c r="D227" i="23"/>
  <c r="D228" i="23"/>
  <c r="D229" i="23"/>
  <c r="D230" i="23"/>
  <c r="D231" i="23"/>
  <c r="D232" i="23"/>
  <c r="D233" i="23"/>
  <c r="D234" i="23"/>
  <c r="D235" i="23"/>
  <c r="D236" i="23"/>
  <c r="D237" i="23"/>
  <c r="D238" i="23"/>
  <c r="D239" i="23"/>
  <c r="D240" i="23"/>
  <c r="D241" i="23"/>
  <c r="D242" i="23"/>
  <c r="D243" i="23"/>
  <c r="D244" i="23"/>
  <c r="D245" i="23"/>
  <c r="D246" i="23"/>
  <c r="D247" i="23"/>
  <c r="D248" i="23"/>
  <c r="D249" i="23"/>
  <c r="D250" i="23"/>
  <c r="D251" i="23"/>
  <c r="D252" i="23"/>
  <c r="D253" i="23"/>
  <c r="D254" i="23"/>
  <c r="D255" i="23"/>
  <c r="D256" i="23"/>
  <c r="D257" i="23"/>
  <c r="D258" i="23"/>
  <c r="D259" i="23"/>
  <c r="D260" i="23"/>
  <c r="D261" i="23"/>
  <c r="D262" i="23"/>
  <c r="D263" i="23"/>
  <c r="D264" i="23"/>
  <c r="D265" i="23"/>
  <c r="D266" i="23"/>
  <c r="D267" i="23"/>
  <c r="D268" i="23"/>
  <c r="D269" i="23"/>
  <c r="D270" i="23"/>
  <c r="D271" i="23"/>
  <c r="D272" i="23"/>
  <c r="D273" i="23"/>
  <c r="D274" i="23"/>
  <c r="D275" i="23"/>
  <c r="D276" i="23"/>
  <c r="D277" i="23"/>
  <c r="D278" i="23"/>
  <c r="D279" i="23"/>
  <c r="D280" i="23"/>
  <c r="D281" i="23"/>
  <c r="D282" i="23"/>
  <c r="D283" i="23"/>
  <c r="D284" i="23"/>
  <c r="D285" i="23"/>
  <c r="D286" i="23"/>
  <c r="D287" i="23"/>
  <c r="D288" i="23"/>
  <c r="D289" i="23"/>
  <c r="D290" i="23"/>
  <c r="D291" i="23"/>
  <c r="D292" i="23"/>
  <c r="D293" i="23"/>
  <c r="D294" i="23"/>
  <c r="D295" i="23"/>
  <c r="D296" i="23"/>
  <c r="D297" i="23"/>
  <c r="D298" i="23"/>
  <c r="D299" i="23"/>
  <c r="D300" i="23"/>
  <c r="D301" i="23"/>
  <c r="D302" i="23"/>
  <c r="D303" i="23"/>
  <c r="D304" i="23"/>
  <c r="D305" i="23"/>
  <c r="D306" i="23"/>
  <c r="D307" i="23"/>
  <c r="D308" i="23"/>
  <c r="D309" i="23"/>
  <c r="D310" i="23"/>
  <c r="D311" i="23"/>
  <c r="D312" i="23"/>
  <c r="D313" i="23"/>
  <c r="D314" i="23"/>
  <c r="D315" i="23"/>
  <c r="D316" i="23"/>
  <c r="D317" i="23"/>
  <c r="D318" i="23"/>
  <c r="D319" i="23"/>
  <c r="D320" i="23"/>
  <c r="D321" i="23"/>
  <c r="D322" i="23"/>
  <c r="D323" i="23"/>
  <c r="D324" i="23"/>
  <c r="D325" i="23"/>
  <c r="D326" i="23"/>
  <c r="D327" i="23"/>
  <c r="D328" i="23"/>
  <c r="D329" i="23"/>
  <c r="D330" i="23"/>
  <c r="D331" i="23"/>
  <c r="D332" i="23"/>
  <c r="D333" i="23"/>
  <c r="D334" i="23"/>
  <c r="D335" i="23"/>
  <c r="D336" i="23"/>
  <c r="D337" i="23"/>
  <c r="D338" i="23"/>
  <c r="D339" i="23"/>
  <c r="D340" i="23"/>
  <c r="D341" i="23"/>
  <c r="D342" i="23"/>
  <c r="D343" i="23"/>
  <c r="D344" i="23"/>
  <c r="D345" i="23"/>
  <c r="D346" i="23"/>
  <c r="D347" i="23"/>
  <c r="D348" i="23"/>
  <c r="D349" i="23"/>
  <c r="D350" i="23"/>
  <c r="D351" i="23"/>
  <c r="D352" i="23"/>
  <c r="D353" i="23"/>
  <c r="D354" i="23"/>
  <c r="D355" i="23"/>
  <c r="D356" i="23"/>
  <c r="D357" i="23"/>
  <c r="D358" i="23"/>
  <c r="D359" i="23"/>
  <c r="D360" i="23"/>
  <c r="D361" i="23"/>
  <c r="D362" i="23"/>
  <c r="D363" i="23"/>
  <c r="D364" i="23"/>
  <c r="D365" i="23"/>
  <c r="D366" i="23"/>
  <c r="D367" i="23"/>
  <c r="D368" i="23"/>
  <c r="D369" i="23"/>
  <c r="D370" i="23"/>
  <c r="D371" i="23"/>
  <c r="D372" i="23"/>
  <c r="D373" i="23"/>
  <c r="D374" i="23"/>
  <c r="D375" i="23"/>
  <c r="D376" i="23"/>
  <c r="D377" i="23"/>
  <c r="D378" i="23"/>
  <c r="D379" i="23"/>
  <c r="D380" i="23"/>
  <c r="D381" i="23"/>
  <c r="D382" i="23"/>
  <c r="D383" i="23"/>
  <c r="D384" i="23"/>
  <c r="D385" i="23"/>
  <c r="D386" i="23"/>
  <c r="D387" i="23"/>
  <c r="D388" i="23"/>
  <c r="D389" i="23"/>
  <c r="D390" i="23"/>
  <c r="D391" i="23"/>
  <c r="D392" i="23"/>
  <c r="D393" i="23"/>
  <c r="D394" i="23"/>
  <c r="D395" i="23"/>
  <c r="D396" i="23"/>
  <c r="D397" i="23"/>
  <c r="D398" i="23"/>
  <c r="D399" i="23"/>
  <c r="D400" i="23"/>
  <c r="D401" i="23"/>
  <c r="D402" i="23"/>
  <c r="D403" i="23"/>
  <c r="D404" i="23"/>
  <c r="D405" i="23"/>
  <c r="D406" i="23"/>
  <c r="D407" i="23"/>
  <c r="D408" i="23"/>
  <c r="D409" i="23"/>
  <c r="D410" i="23"/>
  <c r="D411" i="23"/>
  <c r="D412" i="23"/>
  <c r="D413" i="23"/>
  <c r="D414" i="23"/>
  <c r="D415" i="23"/>
  <c r="D416" i="23"/>
  <c r="D417" i="23"/>
  <c r="D418" i="23"/>
  <c r="D419" i="23"/>
  <c r="D420" i="23"/>
  <c r="D421" i="23"/>
  <c r="D422" i="23"/>
  <c r="D423" i="23"/>
  <c r="D424" i="23"/>
  <c r="D425" i="23"/>
  <c r="D426" i="23"/>
  <c r="D427" i="23"/>
  <c r="D428" i="23"/>
  <c r="D429" i="23"/>
  <c r="D430" i="23"/>
  <c r="D431" i="23"/>
  <c r="D432" i="23"/>
  <c r="D433" i="23"/>
  <c r="D434" i="23"/>
  <c r="D435" i="23"/>
  <c r="D436" i="23"/>
  <c r="D437" i="23"/>
  <c r="D438" i="23"/>
  <c r="D439" i="23"/>
  <c r="D440" i="23"/>
  <c r="D441" i="23"/>
  <c r="D442" i="23"/>
  <c r="D443" i="23"/>
  <c r="D444" i="23"/>
  <c r="D445" i="23"/>
  <c r="D446" i="23"/>
  <c r="D447" i="23"/>
  <c r="D448" i="23"/>
  <c r="D449" i="23"/>
  <c r="D450" i="23"/>
  <c r="D451" i="23"/>
  <c r="D452" i="23"/>
  <c r="D453" i="23"/>
  <c r="D454" i="23"/>
  <c r="D455" i="23"/>
  <c r="D456" i="23"/>
  <c r="D457" i="23"/>
  <c r="D458" i="23"/>
  <c r="D459" i="23"/>
  <c r="D460" i="23"/>
  <c r="D461" i="23"/>
  <c r="D462" i="23"/>
  <c r="D463" i="23"/>
  <c r="D464" i="23"/>
  <c r="D465" i="23"/>
  <c r="D466" i="23"/>
  <c r="D467" i="23"/>
  <c r="D468" i="23"/>
  <c r="D469" i="23"/>
  <c r="D470" i="23"/>
  <c r="D471" i="23"/>
  <c r="D472" i="23"/>
  <c r="D473" i="23"/>
  <c r="D474" i="23"/>
  <c r="D475" i="23"/>
  <c r="D476" i="23"/>
  <c r="D477" i="23"/>
  <c r="D478" i="23"/>
  <c r="D479" i="23"/>
  <c r="D480" i="23"/>
  <c r="D481" i="23"/>
  <c r="D482" i="23"/>
  <c r="D483" i="23"/>
  <c r="D484" i="23"/>
  <c r="D485" i="23"/>
  <c r="D486" i="23"/>
  <c r="D487" i="23"/>
  <c r="D488" i="23"/>
  <c r="D489" i="23"/>
  <c r="D490" i="23"/>
  <c r="D491" i="23"/>
  <c r="D492" i="23"/>
  <c r="D493" i="23"/>
  <c r="D494" i="23"/>
  <c r="D495" i="23"/>
  <c r="D496" i="23"/>
  <c r="D497" i="23"/>
  <c r="D498" i="23"/>
  <c r="D499" i="23"/>
  <c r="D500" i="23"/>
  <c r="D501" i="23"/>
  <c r="D502" i="23"/>
  <c r="D503" i="23"/>
  <c r="D504" i="23"/>
  <c r="D505" i="23"/>
  <c r="D506" i="23"/>
  <c r="D507" i="23"/>
  <c r="D508" i="23"/>
  <c r="D509" i="23"/>
  <c r="D510" i="23"/>
  <c r="D511" i="23"/>
  <c r="D512" i="23"/>
  <c r="D513" i="23"/>
  <c r="D514" i="23"/>
  <c r="D515" i="23"/>
  <c r="D516" i="23"/>
  <c r="D517" i="23"/>
  <c r="D518" i="23"/>
  <c r="D519" i="23"/>
  <c r="D520" i="23"/>
  <c r="D521" i="23"/>
  <c r="D522" i="23"/>
  <c r="D523" i="23"/>
  <c r="D524" i="23"/>
  <c r="D525" i="23"/>
  <c r="D526" i="23"/>
  <c r="D527" i="23"/>
  <c r="D528" i="23"/>
  <c r="D529" i="23"/>
  <c r="D530" i="23"/>
  <c r="D531" i="23"/>
  <c r="D532" i="23"/>
  <c r="D533" i="23"/>
  <c r="D534" i="23"/>
  <c r="D535" i="23"/>
  <c r="D536" i="23"/>
  <c r="D537" i="23"/>
  <c r="D538" i="23"/>
  <c r="D539" i="23"/>
  <c r="D540" i="23"/>
  <c r="D541" i="23"/>
  <c r="D542" i="23"/>
  <c r="D543" i="23"/>
  <c r="D544" i="23"/>
  <c r="D545" i="23"/>
  <c r="D546" i="23"/>
  <c r="D547" i="23"/>
  <c r="D548" i="23"/>
  <c r="D549" i="23"/>
  <c r="D550" i="23"/>
  <c r="D551" i="23"/>
  <c r="D552" i="23"/>
  <c r="D553" i="23"/>
  <c r="D554" i="23"/>
  <c r="D555" i="23"/>
  <c r="D556" i="23"/>
  <c r="D557" i="23"/>
  <c r="D558" i="23"/>
  <c r="D559" i="23"/>
  <c r="D560" i="23"/>
  <c r="D561" i="23"/>
  <c r="D562" i="23"/>
  <c r="D563" i="23"/>
  <c r="D564" i="23"/>
  <c r="D565" i="23"/>
  <c r="D566" i="23"/>
  <c r="D567" i="23"/>
  <c r="D568" i="23"/>
  <c r="D569" i="23"/>
  <c r="D570" i="23"/>
  <c r="D571" i="23"/>
  <c r="D572" i="23"/>
  <c r="D573" i="23"/>
  <c r="D574" i="23"/>
  <c r="D575" i="23"/>
  <c r="D576" i="23"/>
  <c r="D577" i="23"/>
  <c r="D578" i="23"/>
  <c r="D579" i="23"/>
  <c r="D580" i="23"/>
  <c r="D581" i="23"/>
  <c r="D582" i="23"/>
  <c r="D583" i="23"/>
  <c r="D584" i="23"/>
  <c r="D585" i="23"/>
  <c r="D586" i="23"/>
  <c r="D587" i="23"/>
  <c r="D588" i="23"/>
  <c r="D589" i="23"/>
  <c r="D590" i="23"/>
  <c r="D591" i="23"/>
  <c r="D592" i="23"/>
  <c r="D593" i="23"/>
  <c r="D594" i="23"/>
  <c r="D595" i="23"/>
  <c r="D596" i="23"/>
  <c r="D597" i="23"/>
  <c r="D598" i="23"/>
  <c r="D599" i="23"/>
  <c r="D600" i="23"/>
  <c r="D601" i="23"/>
  <c r="D602" i="23"/>
  <c r="D603" i="23"/>
  <c r="D604" i="23"/>
  <c r="D605" i="23"/>
  <c r="D606" i="23"/>
  <c r="D607" i="23"/>
  <c r="D608" i="23"/>
  <c r="D609" i="23"/>
  <c r="D610" i="23"/>
  <c r="D611" i="23"/>
  <c r="D612" i="23"/>
  <c r="D613" i="23"/>
  <c r="D614" i="23"/>
  <c r="D615" i="23"/>
  <c r="D616" i="23"/>
  <c r="D617" i="23"/>
  <c r="D618" i="23"/>
  <c r="D619" i="23"/>
  <c r="D620" i="23"/>
  <c r="D621" i="23"/>
  <c r="D622" i="23"/>
  <c r="D623" i="23"/>
  <c r="D624" i="23"/>
  <c r="D625" i="23"/>
  <c r="D626" i="23"/>
  <c r="D627" i="23"/>
  <c r="D628" i="23"/>
  <c r="D629" i="23"/>
  <c r="D630" i="23"/>
  <c r="D631" i="23"/>
  <c r="D632" i="23"/>
  <c r="D633" i="23"/>
  <c r="D634" i="23"/>
  <c r="D635" i="23"/>
  <c r="D636" i="23"/>
  <c r="D637" i="23"/>
  <c r="D638" i="23"/>
  <c r="D639" i="23"/>
  <c r="D640" i="23"/>
  <c r="D641" i="23"/>
  <c r="D642" i="23"/>
  <c r="D643" i="23"/>
  <c r="D644" i="23"/>
  <c r="D645" i="23"/>
  <c r="D646" i="23"/>
  <c r="D647" i="23"/>
  <c r="D648" i="23"/>
  <c r="D649" i="23"/>
  <c r="D650" i="23"/>
  <c r="D651" i="23"/>
  <c r="D652" i="23"/>
  <c r="D653" i="23"/>
  <c r="D654" i="23"/>
  <c r="D655" i="23"/>
  <c r="D656" i="23"/>
  <c r="D657" i="23"/>
  <c r="D658" i="23"/>
  <c r="D659" i="23"/>
  <c r="D660" i="23"/>
  <c r="D661" i="23"/>
  <c r="D662" i="23"/>
  <c r="D663" i="23"/>
  <c r="D664" i="23"/>
  <c r="D665" i="23"/>
  <c r="D666" i="23"/>
  <c r="D667" i="23"/>
  <c r="D668" i="23"/>
  <c r="D669" i="23"/>
  <c r="D670" i="23"/>
  <c r="D671" i="23"/>
  <c r="D672" i="23"/>
  <c r="D673" i="23"/>
  <c r="D674" i="23"/>
  <c r="D675" i="23"/>
  <c r="D676" i="23"/>
  <c r="D677" i="23"/>
  <c r="D678" i="23"/>
  <c r="D679" i="23"/>
  <c r="D680" i="23"/>
  <c r="D681" i="23"/>
  <c r="D682" i="23"/>
  <c r="D683" i="23"/>
  <c r="D684" i="23"/>
  <c r="D685" i="23"/>
  <c r="D686" i="23"/>
  <c r="D687" i="23"/>
  <c r="D688" i="23"/>
  <c r="D689" i="23"/>
  <c r="D690" i="23"/>
  <c r="D691" i="23"/>
  <c r="D692" i="23"/>
  <c r="D693" i="23"/>
  <c r="D694" i="23"/>
  <c r="D695" i="23"/>
  <c r="D696" i="23"/>
  <c r="D697" i="23"/>
  <c r="D698" i="23"/>
  <c r="D699" i="23"/>
  <c r="D700" i="23"/>
  <c r="D701" i="23"/>
  <c r="D702" i="23"/>
  <c r="D703" i="23"/>
  <c r="D704" i="23"/>
  <c r="D705" i="23"/>
  <c r="D706" i="23"/>
  <c r="D707" i="23"/>
  <c r="D708" i="23"/>
  <c r="D709" i="23"/>
  <c r="D710" i="23"/>
  <c r="D711" i="23"/>
  <c r="D712" i="23"/>
  <c r="D713" i="23"/>
  <c r="D714" i="23"/>
  <c r="D715" i="23"/>
  <c r="D716" i="23"/>
  <c r="D717" i="23"/>
  <c r="D718" i="23"/>
  <c r="D719" i="23"/>
  <c r="D720" i="23"/>
  <c r="D721" i="23"/>
  <c r="D722" i="23"/>
  <c r="D723" i="23"/>
  <c r="D724" i="23"/>
  <c r="D725" i="23"/>
  <c r="D726" i="23"/>
  <c r="D727" i="23"/>
  <c r="D728" i="23"/>
  <c r="D729" i="23"/>
  <c r="D730" i="23"/>
  <c r="D731" i="23"/>
  <c r="D732" i="23"/>
  <c r="D733" i="23"/>
  <c r="D734" i="23"/>
  <c r="D735" i="23"/>
  <c r="D736" i="23"/>
  <c r="D737" i="23"/>
  <c r="D738" i="23"/>
  <c r="D739" i="23"/>
  <c r="D740" i="23"/>
  <c r="D741" i="23"/>
  <c r="D742" i="23"/>
  <c r="D743" i="23"/>
  <c r="D744" i="23"/>
  <c r="D745" i="23"/>
  <c r="D746" i="23"/>
  <c r="D747" i="23"/>
  <c r="D748" i="23"/>
  <c r="D749" i="23"/>
  <c r="D750" i="23"/>
  <c r="D751" i="23"/>
  <c r="D752" i="23"/>
  <c r="D753" i="23"/>
  <c r="D754" i="23"/>
  <c r="D755" i="23"/>
  <c r="D756" i="23"/>
  <c r="D757" i="23"/>
  <c r="D758" i="23"/>
  <c r="D759" i="23"/>
  <c r="D760" i="23"/>
  <c r="D761" i="23"/>
  <c r="D762" i="23"/>
  <c r="D763" i="23"/>
  <c r="D764" i="23"/>
  <c r="D765" i="23"/>
  <c r="D766" i="23"/>
  <c r="D767" i="23"/>
  <c r="D768" i="23"/>
  <c r="D769" i="23"/>
  <c r="D770" i="23"/>
  <c r="D771" i="23"/>
  <c r="D772" i="23"/>
  <c r="D773" i="23"/>
  <c r="D774" i="23"/>
  <c r="D775" i="23"/>
  <c r="D776" i="23"/>
  <c r="D777" i="23"/>
  <c r="D778" i="23"/>
  <c r="D779" i="23"/>
  <c r="D780" i="23"/>
  <c r="D781" i="23"/>
  <c r="D782" i="23"/>
  <c r="D783" i="23"/>
  <c r="D784" i="23"/>
  <c r="D785" i="23"/>
  <c r="D786" i="23"/>
  <c r="D787" i="23"/>
  <c r="D788" i="23"/>
  <c r="D789" i="23"/>
  <c r="D790" i="23"/>
  <c r="D791" i="23"/>
  <c r="D792" i="23"/>
  <c r="D793" i="23"/>
  <c r="D794" i="23"/>
  <c r="D795" i="23"/>
  <c r="D796" i="23"/>
  <c r="D797" i="23"/>
  <c r="D798" i="23"/>
  <c r="D799" i="23"/>
  <c r="D800" i="23"/>
  <c r="D801" i="23"/>
  <c r="D802" i="23"/>
  <c r="D803" i="23"/>
  <c r="D804" i="23"/>
  <c r="D805" i="23"/>
  <c r="D806" i="23"/>
  <c r="D807" i="23"/>
  <c r="D808" i="23"/>
  <c r="D809" i="23"/>
  <c r="D810" i="23"/>
  <c r="D811" i="23"/>
  <c r="D812" i="23"/>
  <c r="D813" i="23"/>
  <c r="D814" i="23"/>
  <c r="D815" i="23"/>
  <c r="D816" i="23"/>
  <c r="D817" i="23"/>
  <c r="D818" i="23"/>
  <c r="D819" i="23"/>
  <c r="D820" i="23"/>
  <c r="D821" i="23"/>
  <c r="D822" i="23"/>
  <c r="D823" i="23"/>
  <c r="D824" i="23"/>
  <c r="D825" i="23"/>
  <c r="D826" i="23"/>
  <c r="D827" i="23"/>
  <c r="D828" i="23"/>
  <c r="D829" i="23"/>
  <c r="D830" i="23"/>
  <c r="D831" i="23"/>
  <c r="D832" i="23"/>
  <c r="D833" i="23"/>
  <c r="D834" i="23"/>
  <c r="D835" i="23"/>
  <c r="D836" i="23"/>
  <c r="D837" i="23"/>
  <c r="D838" i="23"/>
  <c r="D839" i="23"/>
  <c r="D840" i="23"/>
  <c r="D841" i="23"/>
  <c r="D842" i="23"/>
  <c r="D843" i="23"/>
  <c r="D844" i="23"/>
  <c r="D845" i="23"/>
  <c r="D846" i="23"/>
  <c r="D847" i="23"/>
  <c r="D848" i="23"/>
  <c r="D849" i="23"/>
  <c r="D850" i="23"/>
  <c r="D851" i="23"/>
  <c r="D852" i="23"/>
  <c r="D853" i="23"/>
  <c r="D854" i="23"/>
  <c r="D855" i="23"/>
  <c r="D856" i="23"/>
  <c r="D857" i="23"/>
  <c r="D858" i="23"/>
  <c r="D859" i="23"/>
  <c r="D860" i="23"/>
  <c r="D861" i="23"/>
  <c r="D862" i="23"/>
  <c r="D863" i="23"/>
  <c r="D864" i="23"/>
  <c r="D865" i="23"/>
  <c r="D866" i="23"/>
  <c r="D867" i="23"/>
  <c r="D868" i="23"/>
  <c r="D869" i="23"/>
  <c r="D870" i="23"/>
  <c r="D871" i="23"/>
  <c r="D872" i="23"/>
  <c r="D873" i="23"/>
  <c r="D874" i="23"/>
  <c r="D875" i="23"/>
  <c r="D876" i="23"/>
  <c r="D877" i="23"/>
  <c r="D878" i="23"/>
  <c r="D879" i="23"/>
  <c r="D880" i="23"/>
  <c r="D881" i="23"/>
  <c r="D882" i="23"/>
  <c r="D883" i="23"/>
  <c r="D884" i="23"/>
  <c r="D885" i="23"/>
  <c r="D886" i="23"/>
  <c r="D887" i="23"/>
  <c r="D888" i="23"/>
  <c r="D889" i="23"/>
  <c r="D890" i="23"/>
  <c r="D891" i="23"/>
  <c r="D892" i="23"/>
  <c r="D893" i="23"/>
  <c r="D894" i="23"/>
  <c r="D895" i="23"/>
  <c r="D896" i="23"/>
  <c r="D897" i="23"/>
  <c r="D898" i="23"/>
  <c r="D899" i="23"/>
  <c r="D900" i="23"/>
  <c r="D901" i="23"/>
  <c r="D902" i="23"/>
  <c r="D903" i="23"/>
  <c r="D904" i="23"/>
  <c r="D905" i="23"/>
  <c r="D906" i="23"/>
  <c r="D907" i="23"/>
  <c r="D908" i="23"/>
  <c r="D909" i="23"/>
  <c r="D910" i="23"/>
  <c r="D911" i="23"/>
  <c r="D912" i="23"/>
  <c r="D913" i="23"/>
  <c r="D914" i="23"/>
  <c r="D915" i="23"/>
  <c r="D916" i="23"/>
  <c r="D917" i="23"/>
  <c r="D918" i="23"/>
  <c r="D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267" i="23"/>
  <c r="C268" i="23"/>
  <c r="C269" i="23"/>
  <c r="C270" i="23"/>
  <c r="C271" i="23"/>
  <c r="C272" i="23"/>
  <c r="C273" i="23"/>
  <c r="C274" i="23"/>
  <c r="C275" i="23"/>
  <c r="C276" i="23"/>
  <c r="C277" i="23"/>
  <c r="C278" i="23"/>
  <c r="C279" i="23"/>
  <c r="C280" i="23"/>
  <c r="C281" i="23"/>
  <c r="C282" i="23"/>
  <c r="C283" i="23"/>
  <c r="C284" i="23"/>
  <c r="C285" i="23"/>
  <c r="C286" i="23"/>
  <c r="C287" i="23"/>
  <c r="C288" i="23"/>
  <c r="C289" i="23"/>
  <c r="C290" i="23"/>
  <c r="C291" i="23"/>
  <c r="C292" i="23"/>
  <c r="C293" i="23"/>
  <c r="C294" i="23"/>
  <c r="C295" i="23"/>
  <c r="C296" i="23"/>
  <c r="C297" i="23"/>
  <c r="C298" i="23"/>
  <c r="C299" i="23"/>
  <c r="C300" i="23"/>
  <c r="C301" i="23"/>
  <c r="C302" i="23"/>
  <c r="C303" i="23"/>
  <c r="C304" i="23"/>
  <c r="C305" i="23"/>
  <c r="C306" i="23"/>
  <c r="C307" i="23"/>
  <c r="C308" i="23"/>
  <c r="C309" i="23"/>
  <c r="C310" i="23"/>
  <c r="C311" i="23"/>
  <c r="C312" i="23"/>
  <c r="C313" i="23"/>
  <c r="C314" i="23"/>
  <c r="C315" i="23"/>
  <c r="C316" i="23"/>
  <c r="C317" i="23"/>
  <c r="C318" i="23"/>
  <c r="C319" i="23"/>
  <c r="C320" i="23"/>
  <c r="C321" i="23"/>
  <c r="C322" i="23"/>
  <c r="C323" i="23"/>
  <c r="C324" i="23"/>
  <c r="C325" i="23"/>
  <c r="C326" i="23"/>
  <c r="C327" i="23"/>
  <c r="C328" i="23"/>
  <c r="C329" i="23"/>
  <c r="C330" i="23"/>
  <c r="C331" i="23"/>
  <c r="C332" i="23"/>
  <c r="C333" i="23"/>
  <c r="C334" i="23"/>
  <c r="C335" i="23"/>
  <c r="C336" i="23"/>
  <c r="C337" i="23"/>
  <c r="C338" i="23"/>
  <c r="C339" i="23"/>
  <c r="C340" i="23"/>
  <c r="C341" i="23"/>
  <c r="C342" i="23"/>
  <c r="C343" i="23"/>
  <c r="C344" i="23"/>
  <c r="C345" i="23"/>
  <c r="C346" i="23"/>
  <c r="C347" i="23"/>
  <c r="C348" i="23"/>
  <c r="C349" i="23"/>
  <c r="C350" i="23"/>
  <c r="C351" i="23"/>
  <c r="C352" i="23"/>
  <c r="C353" i="23"/>
  <c r="C354" i="23"/>
  <c r="C355" i="23"/>
  <c r="C356" i="23"/>
  <c r="C357" i="23"/>
  <c r="C358" i="23"/>
  <c r="C359" i="23"/>
  <c r="C360" i="23"/>
  <c r="C361" i="23"/>
  <c r="C362" i="23"/>
  <c r="C363" i="23"/>
  <c r="C364" i="23"/>
  <c r="C365" i="23"/>
  <c r="C366" i="23"/>
  <c r="C367" i="23"/>
  <c r="C368" i="23"/>
  <c r="C369" i="23"/>
  <c r="C370" i="23"/>
  <c r="C371" i="23"/>
  <c r="C372" i="23"/>
  <c r="C373" i="23"/>
  <c r="C374" i="23"/>
  <c r="C375" i="23"/>
  <c r="C376" i="23"/>
  <c r="C377" i="23"/>
  <c r="C378" i="23"/>
  <c r="C379" i="23"/>
  <c r="C380" i="23"/>
  <c r="C381" i="23"/>
  <c r="C382" i="23"/>
  <c r="C383" i="23"/>
  <c r="C384" i="23"/>
  <c r="C385" i="23"/>
  <c r="C386" i="23"/>
  <c r="C387" i="23"/>
  <c r="C388" i="23"/>
  <c r="C389" i="23"/>
  <c r="C390" i="23"/>
  <c r="C391" i="23"/>
  <c r="C392" i="23"/>
  <c r="C393" i="23"/>
  <c r="C394" i="23"/>
  <c r="C395" i="23"/>
  <c r="C396" i="23"/>
  <c r="C397" i="23"/>
  <c r="C398" i="23"/>
  <c r="C399" i="23"/>
  <c r="C400" i="23"/>
  <c r="C401" i="23"/>
  <c r="C402" i="23"/>
  <c r="C403" i="23"/>
  <c r="C404" i="23"/>
  <c r="C405" i="23"/>
  <c r="C406" i="23"/>
  <c r="C407" i="23"/>
  <c r="C408" i="23"/>
  <c r="C409" i="23"/>
  <c r="C410" i="23"/>
  <c r="C411" i="23"/>
  <c r="C412" i="23"/>
  <c r="C413" i="23"/>
  <c r="C414" i="23"/>
  <c r="C415" i="23"/>
  <c r="C416" i="23"/>
  <c r="C417" i="23"/>
  <c r="C418" i="23"/>
  <c r="C419" i="23"/>
  <c r="C420" i="23"/>
  <c r="C421" i="23"/>
  <c r="C422" i="23"/>
  <c r="C423" i="23"/>
  <c r="C424" i="23"/>
  <c r="C425" i="23"/>
  <c r="C426" i="23"/>
  <c r="C427" i="23"/>
  <c r="C428" i="23"/>
  <c r="C429" i="23"/>
  <c r="C430" i="23"/>
  <c r="C431" i="23"/>
  <c r="C432" i="23"/>
  <c r="C433" i="23"/>
  <c r="C434" i="23"/>
  <c r="C435" i="23"/>
  <c r="C436" i="23"/>
  <c r="C437" i="23"/>
  <c r="C438" i="23"/>
  <c r="C439" i="23"/>
  <c r="C440" i="23"/>
  <c r="C441" i="23"/>
  <c r="C442" i="23"/>
  <c r="C443" i="23"/>
  <c r="C444" i="23"/>
  <c r="C445" i="23"/>
  <c r="C446" i="23"/>
  <c r="C447" i="23"/>
  <c r="C448" i="23"/>
  <c r="C449" i="23"/>
  <c r="C450" i="23"/>
  <c r="C451" i="23"/>
  <c r="C452" i="23"/>
  <c r="C453" i="23"/>
  <c r="C454" i="23"/>
  <c r="C455" i="23"/>
  <c r="C456" i="23"/>
  <c r="C457" i="23"/>
  <c r="C458" i="23"/>
  <c r="C459" i="23"/>
  <c r="C460" i="23"/>
  <c r="C461" i="23"/>
  <c r="C462" i="23"/>
  <c r="C463" i="23"/>
  <c r="C464" i="23"/>
  <c r="C465" i="23"/>
  <c r="C466" i="23"/>
  <c r="C467" i="23"/>
  <c r="C468" i="23"/>
  <c r="C469" i="23"/>
  <c r="C470" i="23"/>
  <c r="C471" i="23"/>
  <c r="C472" i="23"/>
  <c r="C473" i="23"/>
  <c r="C474" i="23"/>
  <c r="C475" i="23"/>
  <c r="C476" i="23"/>
  <c r="C477" i="23"/>
  <c r="C478" i="23"/>
  <c r="C479" i="23"/>
  <c r="C480" i="23"/>
  <c r="C481" i="23"/>
  <c r="C482" i="23"/>
  <c r="C483" i="23"/>
  <c r="C484" i="23"/>
  <c r="C485" i="23"/>
  <c r="C486" i="23"/>
  <c r="C487" i="23"/>
  <c r="C488" i="23"/>
  <c r="C489" i="23"/>
  <c r="C490" i="23"/>
  <c r="C491" i="23"/>
  <c r="C492" i="23"/>
  <c r="C493" i="23"/>
  <c r="C494" i="23"/>
  <c r="C495" i="23"/>
  <c r="C496" i="23"/>
  <c r="C497" i="23"/>
  <c r="C498" i="23"/>
  <c r="C499" i="23"/>
  <c r="C500" i="23"/>
  <c r="C501" i="23"/>
  <c r="C502" i="23"/>
  <c r="C503" i="23"/>
  <c r="C504" i="23"/>
  <c r="C505" i="23"/>
  <c r="C506" i="23"/>
  <c r="C507" i="23"/>
  <c r="C508" i="23"/>
  <c r="C509" i="23"/>
  <c r="C510" i="23"/>
  <c r="C511" i="23"/>
  <c r="C512" i="23"/>
  <c r="C513" i="23"/>
  <c r="C514" i="23"/>
  <c r="C515" i="23"/>
  <c r="C516" i="23"/>
  <c r="C517" i="23"/>
  <c r="C518" i="23"/>
  <c r="C519" i="23"/>
  <c r="C520" i="23"/>
  <c r="C521" i="23"/>
  <c r="C522" i="23"/>
  <c r="C523" i="23"/>
  <c r="C524" i="23"/>
  <c r="C525" i="23"/>
  <c r="C526" i="23"/>
  <c r="C527" i="23"/>
  <c r="C528" i="23"/>
  <c r="C529" i="23"/>
  <c r="C530" i="23"/>
  <c r="C531" i="23"/>
  <c r="C532" i="23"/>
  <c r="C533" i="23"/>
  <c r="C534" i="23"/>
  <c r="C535" i="23"/>
  <c r="C536" i="23"/>
  <c r="C537" i="23"/>
  <c r="C538" i="23"/>
  <c r="C539" i="23"/>
  <c r="C540" i="23"/>
  <c r="C541" i="23"/>
  <c r="C542" i="23"/>
  <c r="C543" i="23"/>
  <c r="C544" i="23"/>
  <c r="C545" i="23"/>
  <c r="C546" i="23"/>
  <c r="C547" i="23"/>
  <c r="C548" i="23"/>
  <c r="C549" i="23"/>
  <c r="C550" i="23"/>
  <c r="C551" i="23"/>
  <c r="C552" i="23"/>
  <c r="C553" i="23"/>
  <c r="C554" i="23"/>
  <c r="C555" i="23"/>
  <c r="C556" i="23"/>
  <c r="C557" i="23"/>
  <c r="C558" i="23"/>
  <c r="C559" i="23"/>
  <c r="C560" i="23"/>
  <c r="C561" i="23"/>
  <c r="C562" i="23"/>
  <c r="C563" i="23"/>
  <c r="C564" i="23"/>
  <c r="C565" i="23"/>
  <c r="C566" i="23"/>
  <c r="C567" i="23"/>
  <c r="C568" i="23"/>
  <c r="C569" i="23"/>
  <c r="C570" i="23"/>
  <c r="C571" i="23"/>
  <c r="C572" i="23"/>
  <c r="C573" i="23"/>
  <c r="C574" i="23"/>
  <c r="C575" i="23"/>
  <c r="C576" i="23"/>
  <c r="C577" i="23"/>
  <c r="C578" i="23"/>
  <c r="C579" i="23"/>
  <c r="C580" i="23"/>
  <c r="C581" i="23"/>
  <c r="C582" i="23"/>
  <c r="C583" i="23"/>
  <c r="C584" i="23"/>
  <c r="C585" i="23"/>
  <c r="C586" i="23"/>
  <c r="C587" i="23"/>
  <c r="C588" i="23"/>
  <c r="C589" i="23"/>
  <c r="C590" i="23"/>
  <c r="C591" i="23"/>
  <c r="C592" i="23"/>
  <c r="C593" i="23"/>
  <c r="C594" i="23"/>
  <c r="C595" i="23"/>
  <c r="C596" i="23"/>
  <c r="C597" i="23"/>
  <c r="C598" i="23"/>
  <c r="C599" i="23"/>
  <c r="C600" i="23"/>
  <c r="C601" i="23"/>
  <c r="C602" i="23"/>
  <c r="C603" i="23"/>
  <c r="C604" i="23"/>
  <c r="C605" i="23"/>
  <c r="C606" i="23"/>
  <c r="C607" i="23"/>
  <c r="C608" i="23"/>
  <c r="C609" i="23"/>
  <c r="C610" i="23"/>
  <c r="C611" i="23"/>
  <c r="C612" i="23"/>
  <c r="C613" i="23"/>
  <c r="C614" i="23"/>
  <c r="C615" i="23"/>
  <c r="C616" i="23"/>
  <c r="C617" i="23"/>
  <c r="C618" i="23"/>
  <c r="C619" i="23"/>
  <c r="C620" i="23"/>
  <c r="C621" i="23"/>
  <c r="C622" i="23"/>
  <c r="C623" i="23"/>
  <c r="C624" i="23"/>
  <c r="C625" i="23"/>
  <c r="C626" i="23"/>
  <c r="C627" i="23"/>
  <c r="C628" i="23"/>
  <c r="C629" i="23"/>
  <c r="C630" i="23"/>
  <c r="C631" i="23"/>
  <c r="C632" i="23"/>
  <c r="C633" i="23"/>
  <c r="C634" i="23"/>
  <c r="C635" i="23"/>
  <c r="C636" i="23"/>
  <c r="C637" i="23"/>
  <c r="C638" i="23"/>
  <c r="C639" i="23"/>
  <c r="C640" i="23"/>
  <c r="C641" i="23"/>
  <c r="C642" i="23"/>
  <c r="C643" i="23"/>
  <c r="C644" i="23"/>
  <c r="C645" i="23"/>
  <c r="C646" i="23"/>
  <c r="C647" i="23"/>
  <c r="C648" i="23"/>
  <c r="C649" i="23"/>
  <c r="C650" i="23"/>
  <c r="C651" i="23"/>
  <c r="C652" i="23"/>
  <c r="C653" i="23"/>
  <c r="C654" i="23"/>
  <c r="C655" i="23"/>
  <c r="C656" i="23"/>
  <c r="C657" i="23"/>
  <c r="C658" i="23"/>
  <c r="C659" i="23"/>
  <c r="C660" i="23"/>
  <c r="C661" i="23"/>
  <c r="C662" i="23"/>
  <c r="C663" i="23"/>
  <c r="C664" i="23"/>
  <c r="C665" i="23"/>
  <c r="C666" i="23"/>
  <c r="C667" i="23"/>
  <c r="C668" i="23"/>
  <c r="C669" i="23"/>
  <c r="C670" i="23"/>
  <c r="C671" i="23"/>
  <c r="C672" i="23"/>
  <c r="C673" i="23"/>
  <c r="C674" i="23"/>
  <c r="C675" i="23"/>
  <c r="C676" i="23"/>
  <c r="C677" i="23"/>
  <c r="C678" i="23"/>
  <c r="C679" i="23"/>
  <c r="C680" i="23"/>
  <c r="C681" i="23"/>
  <c r="C682" i="23"/>
  <c r="C683" i="23"/>
  <c r="C684" i="23"/>
  <c r="C685" i="23"/>
  <c r="C686" i="23"/>
  <c r="C687" i="23"/>
  <c r="C688" i="23"/>
  <c r="C689" i="23"/>
  <c r="C690" i="23"/>
  <c r="C691" i="23"/>
  <c r="C692" i="23"/>
  <c r="C693" i="23"/>
  <c r="C694" i="23"/>
  <c r="C695" i="23"/>
  <c r="C696" i="23"/>
  <c r="C697" i="23"/>
  <c r="C698" i="23"/>
  <c r="C699" i="23"/>
  <c r="C700" i="23"/>
  <c r="C701" i="23"/>
  <c r="C702" i="23"/>
  <c r="C703" i="23"/>
  <c r="C704" i="23"/>
  <c r="C705" i="23"/>
  <c r="C706" i="23"/>
  <c r="C707" i="23"/>
  <c r="C708" i="23"/>
  <c r="C709" i="23"/>
  <c r="C710" i="23"/>
  <c r="C711" i="23"/>
  <c r="C712" i="23"/>
  <c r="C713" i="23"/>
  <c r="C714" i="23"/>
  <c r="C715" i="23"/>
  <c r="C716" i="23"/>
  <c r="C717" i="23"/>
  <c r="C718" i="23"/>
  <c r="C719" i="23"/>
  <c r="C720" i="23"/>
  <c r="C721" i="23"/>
  <c r="C722" i="23"/>
  <c r="C723" i="23"/>
  <c r="C724" i="23"/>
  <c r="C725" i="23"/>
  <c r="C726" i="23"/>
  <c r="C727" i="23"/>
  <c r="C728" i="23"/>
  <c r="C729" i="23"/>
  <c r="C730" i="23"/>
  <c r="C731" i="23"/>
  <c r="C732" i="23"/>
  <c r="C733" i="23"/>
  <c r="C734" i="23"/>
  <c r="C735" i="23"/>
  <c r="C736" i="23"/>
  <c r="C737" i="23"/>
  <c r="C738" i="23"/>
  <c r="C739" i="23"/>
  <c r="C740" i="23"/>
  <c r="C741" i="23"/>
  <c r="C742" i="23"/>
  <c r="C743" i="23"/>
  <c r="C744" i="23"/>
  <c r="C745" i="23"/>
  <c r="C746" i="23"/>
  <c r="C747" i="23"/>
  <c r="C748" i="23"/>
  <c r="C749" i="23"/>
  <c r="C750" i="23"/>
  <c r="C751" i="23"/>
  <c r="C752" i="23"/>
  <c r="C753" i="23"/>
  <c r="C754" i="23"/>
  <c r="C755" i="23"/>
  <c r="C756" i="23"/>
  <c r="C757" i="23"/>
  <c r="C758" i="23"/>
  <c r="C759" i="23"/>
  <c r="C760" i="23"/>
  <c r="C761" i="23"/>
  <c r="C762" i="23"/>
  <c r="C763" i="23"/>
  <c r="C764" i="23"/>
  <c r="C765" i="23"/>
  <c r="C766" i="23"/>
  <c r="C767" i="23"/>
  <c r="C768" i="23"/>
  <c r="C769" i="23"/>
  <c r="C770" i="23"/>
  <c r="C771" i="23"/>
  <c r="C772" i="23"/>
  <c r="C773" i="23"/>
  <c r="C774" i="23"/>
  <c r="C775" i="23"/>
  <c r="C776" i="23"/>
  <c r="C777" i="23"/>
  <c r="C778" i="23"/>
  <c r="C779" i="23"/>
  <c r="C780" i="23"/>
  <c r="C781" i="23"/>
  <c r="C782" i="23"/>
  <c r="C783" i="23"/>
  <c r="C784" i="23"/>
  <c r="C785" i="23"/>
  <c r="C786" i="23"/>
  <c r="C787" i="23"/>
  <c r="C788" i="23"/>
  <c r="C789" i="23"/>
  <c r="C790" i="23"/>
  <c r="C791" i="23"/>
  <c r="C792" i="23"/>
  <c r="C793" i="23"/>
  <c r="C794" i="23"/>
  <c r="C795" i="23"/>
  <c r="C796" i="23"/>
  <c r="C797" i="23"/>
  <c r="C798" i="23"/>
  <c r="C799" i="23"/>
  <c r="C800" i="23"/>
  <c r="C801" i="23"/>
  <c r="C802" i="23"/>
  <c r="C803" i="23"/>
  <c r="C804" i="23"/>
  <c r="C805" i="23"/>
  <c r="C806" i="23"/>
  <c r="C807" i="23"/>
  <c r="C808" i="23"/>
  <c r="C809" i="23"/>
  <c r="C810" i="23"/>
  <c r="C811" i="23"/>
  <c r="C812" i="23"/>
  <c r="C813" i="23"/>
  <c r="C814" i="23"/>
  <c r="C815" i="23"/>
  <c r="C816" i="23"/>
  <c r="C817" i="23"/>
  <c r="C818" i="23"/>
  <c r="C819" i="23"/>
  <c r="C820" i="23"/>
  <c r="C821" i="23"/>
  <c r="C822" i="23"/>
  <c r="C823" i="23"/>
  <c r="C824" i="23"/>
  <c r="C825" i="23"/>
  <c r="C826" i="23"/>
  <c r="C827" i="23"/>
  <c r="C828" i="23"/>
  <c r="C829" i="23"/>
  <c r="C830" i="23"/>
  <c r="C831" i="23"/>
  <c r="C832" i="23"/>
  <c r="C833" i="23"/>
  <c r="C834" i="23"/>
  <c r="C835" i="23"/>
  <c r="C836" i="23"/>
  <c r="C837" i="23"/>
  <c r="C838" i="23"/>
  <c r="C839" i="23"/>
  <c r="C840" i="23"/>
  <c r="C841" i="23"/>
  <c r="C842" i="23"/>
  <c r="C843" i="23"/>
  <c r="C844" i="23"/>
  <c r="C845" i="23"/>
  <c r="C846" i="23"/>
  <c r="C847" i="23"/>
  <c r="C848" i="23"/>
  <c r="C849" i="23"/>
  <c r="C850" i="23"/>
  <c r="C851" i="23"/>
  <c r="C852" i="23"/>
  <c r="C853" i="23"/>
  <c r="C854" i="23"/>
  <c r="C855" i="23"/>
  <c r="C856" i="23"/>
  <c r="C857" i="23"/>
  <c r="C858" i="23"/>
  <c r="C859" i="23"/>
  <c r="C860" i="23"/>
  <c r="C861" i="23"/>
  <c r="C862" i="23"/>
  <c r="C863" i="23"/>
  <c r="C864" i="23"/>
  <c r="C865" i="23"/>
  <c r="C866" i="23"/>
  <c r="C867" i="23"/>
  <c r="C868" i="23"/>
  <c r="C869" i="23"/>
  <c r="C870" i="23"/>
  <c r="C871" i="23"/>
  <c r="C872" i="23"/>
  <c r="C873" i="23"/>
  <c r="C874" i="23"/>
  <c r="C875" i="23"/>
  <c r="C876" i="23"/>
  <c r="C877" i="23"/>
  <c r="C878" i="23"/>
  <c r="C879" i="23"/>
  <c r="C880" i="23"/>
  <c r="C881" i="23"/>
  <c r="C882" i="23"/>
  <c r="C883" i="23"/>
  <c r="C884" i="23"/>
  <c r="C885" i="23"/>
  <c r="C886" i="23"/>
  <c r="C887" i="23"/>
  <c r="C888" i="23"/>
  <c r="C889" i="23"/>
  <c r="C890" i="23"/>
  <c r="C891" i="23"/>
  <c r="C892" i="23"/>
  <c r="C893" i="23"/>
  <c r="C894" i="23"/>
  <c r="C895" i="23"/>
  <c r="C896" i="23"/>
  <c r="C897" i="23"/>
  <c r="C898" i="23"/>
  <c r="C899" i="23"/>
  <c r="C900" i="23"/>
  <c r="C901" i="23"/>
  <c r="C902" i="23"/>
  <c r="C903" i="23"/>
  <c r="C904" i="23"/>
  <c r="C905" i="23"/>
  <c r="C906" i="23"/>
  <c r="C907" i="23"/>
  <c r="C908" i="23"/>
  <c r="C909" i="23"/>
  <c r="C910" i="23"/>
  <c r="C911" i="23"/>
  <c r="C912" i="23"/>
  <c r="C913" i="23"/>
  <c r="C914" i="23"/>
  <c r="C915" i="23"/>
  <c r="C916" i="23"/>
  <c r="C917" i="23"/>
  <c r="C918" i="23"/>
  <c r="C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5" i="23"/>
  <c r="B246" i="23"/>
  <c r="B247" i="23"/>
  <c r="B248" i="23"/>
  <c r="B249" i="23"/>
  <c r="B250" i="23"/>
  <c r="B251" i="23"/>
  <c r="B252" i="23"/>
  <c r="B253" i="23"/>
  <c r="B254" i="23"/>
  <c r="B255" i="23"/>
  <c r="B256" i="23"/>
  <c r="B257" i="23"/>
  <c r="B258" i="23"/>
  <c r="B259" i="23"/>
  <c r="B260" i="23"/>
  <c r="B261" i="23"/>
  <c r="B262" i="23"/>
  <c r="B263" i="23"/>
  <c r="B264" i="23"/>
  <c r="B265" i="23"/>
  <c r="B266" i="23"/>
  <c r="B267" i="23"/>
  <c r="B268" i="23"/>
  <c r="B269" i="23"/>
  <c r="B270" i="23"/>
  <c r="B271" i="23"/>
  <c r="B272" i="23"/>
  <c r="B273" i="23"/>
  <c r="B274" i="23"/>
  <c r="B275" i="23"/>
  <c r="B276" i="23"/>
  <c r="B277" i="23"/>
  <c r="B278" i="23"/>
  <c r="B279" i="23"/>
  <c r="B280" i="23"/>
  <c r="B281" i="23"/>
  <c r="B282" i="23"/>
  <c r="B283" i="23"/>
  <c r="B284" i="23"/>
  <c r="B285" i="23"/>
  <c r="B286" i="23"/>
  <c r="B287" i="23"/>
  <c r="B288" i="23"/>
  <c r="B289" i="23"/>
  <c r="B290" i="23"/>
  <c r="B291" i="23"/>
  <c r="B292" i="23"/>
  <c r="B293" i="23"/>
  <c r="B294" i="23"/>
  <c r="B295" i="23"/>
  <c r="B296" i="23"/>
  <c r="B297" i="23"/>
  <c r="B298" i="23"/>
  <c r="B299" i="23"/>
  <c r="B300" i="23"/>
  <c r="B301" i="23"/>
  <c r="B302" i="23"/>
  <c r="B303" i="23"/>
  <c r="B304" i="23"/>
  <c r="B305" i="23"/>
  <c r="B306" i="23"/>
  <c r="B307" i="23"/>
  <c r="B308" i="23"/>
  <c r="B309" i="23"/>
  <c r="B310" i="23"/>
  <c r="B311" i="23"/>
  <c r="B312" i="23"/>
  <c r="B313" i="23"/>
  <c r="B314" i="23"/>
  <c r="B315" i="23"/>
  <c r="B316" i="23"/>
  <c r="B317" i="23"/>
  <c r="B318" i="23"/>
  <c r="B319" i="23"/>
  <c r="B320" i="23"/>
  <c r="B321" i="23"/>
  <c r="B322" i="23"/>
  <c r="B323" i="23"/>
  <c r="B324" i="23"/>
  <c r="B325" i="23"/>
  <c r="B326" i="23"/>
  <c r="B327" i="23"/>
  <c r="B328" i="23"/>
  <c r="B329" i="23"/>
  <c r="B330" i="23"/>
  <c r="B331" i="23"/>
  <c r="B332" i="23"/>
  <c r="B333" i="23"/>
  <c r="B334" i="23"/>
  <c r="B335" i="23"/>
  <c r="B336" i="23"/>
  <c r="B337" i="23"/>
  <c r="B338" i="23"/>
  <c r="B339" i="23"/>
  <c r="B340" i="23"/>
  <c r="B341" i="23"/>
  <c r="B342" i="23"/>
  <c r="B343" i="23"/>
  <c r="B344" i="23"/>
  <c r="B345" i="23"/>
  <c r="B346" i="23"/>
  <c r="B347" i="23"/>
  <c r="B348" i="23"/>
  <c r="B349" i="23"/>
  <c r="B350" i="23"/>
  <c r="B351" i="23"/>
  <c r="B352" i="23"/>
  <c r="B353" i="23"/>
  <c r="B354" i="23"/>
  <c r="B355" i="23"/>
  <c r="B356" i="23"/>
  <c r="B357" i="23"/>
  <c r="B358" i="23"/>
  <c r="B359" i="23"/>
  <c r="B360" i="23"/>
  <c r="B361" i="23"/>
  <c r="B362" i="23"/>
  <c r="B363" i="23"/>
  <c r="B364" i="23"/>
  <c r="B365" i="23"/>
  <c r="B366" i="23"/>
  <c r="B367" i="23"/>
  <c r="B368" i="23"/>
  <c r="B369" i="23"/>
  <c r="B370" i="23"/>
  <c r="B371" i="23"/>
  <c r="B372" i="23"/>
  <c r="B373" i="23"/>
  <c r="B374" i="23"/>
  <c r="B375" i="23"/>
  <c r="B376" i="23"/>
  <c r="B377" i="23"/>
  <c r="B378" i="23"/>
  <c r="B379" i="23"/>
  <c r="B380" i="23"/>
  <c r="B381" i="23"/>
  <c r="B382" i="23"/>
  <c r="B383" i="23"/>
  <c r="B384" i="23"/>
  <c r="B385" i="23"/>
  <c r="B386" i="23"/>
  <c r="B387" i="23"/>
  <c r="B388" i="23"/>
  <c r="B389" i="23"/>
  <c r="B390" i="23"/>
  <c r="B391" i="23"/>
  <c r="B392" i="23"/>
  <c r="B393" i="23"/>
  <c r="B394" i="23"/>
  <c r="B395" i="23"/>
  <c r="B396" i="23"/>
  <c r="B397" i="23"/>
  <c r="B398" i="23"/>
  <c r="B399" i="23"/>
  <c r="B400" i="23"/>
  <c r="B401" i="23"/>
  <c r="B402" i="23"/>
  <c r="B403" i="23"/>
  <c r="B404" i="23"/>
  <c r="B405" i="23"/>
  <c r="B406" i="23"/>
  <c r="B407" i="23"/>
  <c r="B408" i="23"/>
  <c r="B409" i="23"/>
  <c r="B410" i="23"/>
  <c r="B411" i="23"/>
  <c r="B412" i="23"/>
  <c r="B413" i="23"/>
  <c r="B414" i="23"/>
  <c r="B415" i="23"/>
  <c r="B416" i="23"/>
  <c r="B417" i="23"/>
  <c r="B418" i="23"/>
  <c r="B419" i="23"/>
  <c r="B420" i="23"/>
  <c r="B421" i="23"/>
  <c r="B422" i="23"/>
  <c r="B423" i="23"/>
  <c r="B424" i="23"/>
  <c r="B425" i="23"/>
  <c r="B426" i="23"/>
  <c r="B427" i="23"/>
  <c r="B428" i="23"/>
  <c r="B429" i="23"/>
  <c r="B430" i="23"/>
  <c r="B431" i="23"/>
  <c r="B432" i="23"/>
  <c r="B433" i="23"/>
  <c r="B434" i="23"/>
  <c r="B435" i="23"/>
  <c r="B436" i="23"/>
  <c r="B437" i="23"/>
  <c r="B438" i="23"/>
  <c r="B439" i="23"/>
  <c r="B440" i="23"/>
  <c r="B441" i="23"/>
  <c r="B442" i="23"/>
  <c r="B443" i="23"/>
  <c r="B444" i="23"/>
  <c r="B445" i="23"/>
  <c r="B446" i="23"/>
  <c r="B447" i="23"/>
  <c r="B448" i="23"/>
  <c r="B449" i="23"/>
  <c r="B450" i="23"/>
  <c r="B451" i="23"/>
  <c r="B452" i="23"/>
  <c r="B453" i="23"/>
  <c r="B454" i="23"/>
  <c r="B455" i="23"/>
  <c r="B456" i="23"/>
  <c r="B457" i="23"/>
  <c r="B458" i="23"/>
  <c r="B459" i="23"/>
  <c r="B460" i="23"/>
  <c r="B461" i="23"/>
  <c r="B462" i="23"/>
  <c r="B463" i="23"/>
  <c r="B464" i="23"/>
  <c r="B465" i="23"/>
  <c r="B466" i="23"/>
  <c r="B467" i="23"/>
  <c r="B468" i="23"/>
  <c r="B469" i="23"/>
  <c r="B470" i="23"/>
  <c r="B471" i="23"/>
  <c r="B472" i="23"/>
  <c r="B473" i="23"/>
  <c r="B474" i="23"/>
  <c r="B475" i="23"/>
  <c r="B476" i="23"/>
  <c r="B477" i="23"/>
  <c r="B478" i="23"/>
  <c r="B479" i="23"/>
  <c r="B480" i="23"/>
  <c r="B481" i="23"/>
  <c r="B482" i="23"/>
  <c r="B483" i="23"/>
  <c r="B484" i="23"/>
  <c r="B485" i="23"/>
  <c r="B486" i="23"/>
  <c r="B487" i="23"/>
  <c r="B488" i="23"/>
  <c r="B489" i="23"/>
  <c r="B490" i="23"/>
  <c r="B491" i="23"/>
  <c r="B492" i="23"/>
  <c r="B493" i="23"/>
  <c r="B494" i="23"/>
  <c r="B495" i="23"/>
  <c r="B496" i="23"/>
  <c r="B497" i="23"/>
  <c r="B498" i="23"/>
  <c r="B499" i="23"/>
  <c r="B500" i="23"/>
  <c r="B501" i="23"/>
  <c r="B502" i="23"/>
  <c r="B503" i="23"/>
  <c r="B504" i="23"/>
  <c r="B505" i="23"/>
  <c r="B506" i="23"/>
  <c r="B507" i="23"/>
  <c r="B508" i="23"/>
  <c r="B509" i="23"/>
  <c r="B510" i="23"/>
  <c r="B511" i="23"/>
  <c r="B512" i="23"/>
  <c r="B513" i="23"/>
  <c r="B514" i="23"/>
  <c r="B515" i="23"/>
  <c r="B516" i="23"/>
  <c r="B517" i="23"/>
  <c r="B518" i="23"/>
  <c r="B519" i="23"/>
  <c r="B520" i="23"/>
  <c r="B521" i="23"/>
  <c r="B522" i="23"/>
  <c r="B523" i="23"/>
  <c r="B524" i="23"/>
  <c r="B525" i="23"/>
  <c r="B526" i="23"/>
  <c r="B527" i="23"/>
  <c r="B528" i="23"/>
  <c r="B529" i="23"/>
  <c r="B530" i="23"/>
  <c r="B531" i="23"/>
  <c r="B532" i="23"/>
  <c r="B533" i="23"/>
  <c r="B534" i="23"/>
  <c r="B535" i="23"/>
  <c r="B536" i="23"/>
  <c r="B537" i="23"/>
  <c r="B538" i="23"/>
  <c r="B539" i="23"/>
  <c r="B540" i="23"/>
  <c r="B541" i="23"/>
  <c r="B542" i="23"/>
  <c r="B543" i="23"/>
  <c r="B544" i="23"/>
  <c r="B545" i="23"/>
  <c r="B546" i="23"/>
  <c r="B547" i="23"/>
  <c r="B548" i="23"/>
  <c r="B549" i="23"/>
  <c r="B550" i="23"/>
  <c r="B551" i="23"/>
  <c r="B552" i="23"/>
  <c r="B553" i="23"/>
  <c r="B554" i="23"/>
  <c r="B555" i="23"/>
  <c r="B556" i="23"/>
  <c r="B557" i="23"/>
  <c r="B558" i="23"/>
  <c r="B559" i="23"/>
  <c r="B560" i="23"/>
  <c r="B561" i="23"/>
  <c r="B562" i="23"/>
  <c r="B563" i="23"/>
  <c r="B564" i="23"/>
  <c r="B565" i="23"/>
  <c r="B566" i="23"/>
  <c r="B567" i="23"/>
  <c r="B568" i="23"/>
  <c r="B569" i="23"/>
  <c r="B570" i="23"/>
  <c r="B571" i="23"/>
  <c r="B572" i="23"/>
  <c r="B573" i="23"/>
  <c r="B574" i="23"/>
  <c r="B575" i="23"/>
  <c r="B576" i="23"/>
  <c r="B577" i="23"/>
  <c r="B578" i="23"/>
  <c r="B579" i="23"/>
  <c r="B580" i="23"/>
  <c r="B581" i="23"/>
  <c r="B582" i="23"/>
  <c r="B583" i="23"/>
  <c r="B584" i="23"/>
  <c r="B585" i="23"/>
  <c r="B586" i="23"/>
  <c r="B587" i="23"/>
  <c r="B588" i="23"/>
  <c r="B589" i="23"/>
  <c r="B590" i="23"/>
  <c r="B591" i="23"/>
  <c r="B592" i="23"/>
  <c r="B593" i="23"/>
  <c r="B594" i="23"/>
  <c r="B595" i="23"/>
  <c r="B596" i="23"/>
  <c r="B597" i="23"/>
  <c r="B598" i="23"/>
  <c r="B599" i="23"/>
  <c r="B600" i="23"/>
  <c r="B601" i="23"/>
  <c r="B602" i="23"/>
  <c r="B603" i="23"/>
  <c r="B604" i="23"/>
  <c r="B605" i="23"/>
  <c r="B606" i="23"/>
  <c r="B607" i="23"/>
  <c r="B608" i="23"/>
  <c r="B609" i="23"/>
  <c r="B610" i="23"/>
  <c r="B611" i="23"/>
  <c r="B612" i="23"/>
  <c r="B613" i="23"/>
  <c r="B614" i="23"/>
  <c r="B615" i="23"/>
  <c r="B616" i="23"/>
  <c r="B617" i="23"/>
  <c r="B618" i="23"/>
  <c r="B619" i="23"/>
  <c r="B620" i="23"/>
  <c r="B621" i="23"/>
  <c r="B622" i="23"/>
  <c r="B623" i="23"/>
  <c r="B624" i="23"/>
  <c r="B625" i="23"/>
  <c r="B626" i="23"/>
  <c r="B627" i="23"/>
  <c r="B628" i="23"/>
  <c r="B629" i="23"/>
  <c r="B630" i="23"/>
  <c r="B631" i="23"/>
  <c r="B632" i="23"/>
  <c r="B633" i="23"/>
  <c r="B634" i="23"/>
  <c r="B635" i="23"/>
  <c r="B636" i="23"/>
  <c r="B637" i="23"/>
  <c r="B638" i="23"/>
  <c r="B639" i="23"/>
  <c r="B640" i="23"/>
  <c r="B641" i="23"/>
  <c r="B642" i="23"/>
  <c r="B643" i="23"/>
  <c r="B644" i="23"/>
  <c r="B645" i="23"/>
  <c r="B646" i="23"/>
  <c r="B647" i="23"/>
  <c r="B648" i="23"/>
  <c r="B649" i="23"/>
  <c r="B650" i="23"/>
  <c r="B651" i="23"/>
  <c r="B652" i="23"/>
  <c r="B653" i="23"/>
  <c r="B654" i="23"/>
  <c r="B655" i="23"/>
  <c r="B656" i="23"/>
  <c r="B657" i="23"/>
  <c r="B658" i="23"/>
  <c r="B659" i="23"/>
  <c r="B660" i="23"/>
  <c r="B661" i="23"/>
  <c r="B662" i="23"/>
  <c r="B663" i="23"/>
  <c r="B664" i="23"/>
  <c r="B665" i="23"/>
  <c r="B666" i="23"/>
  <c r="B667" i="23"/>
  <c r="B668" i="23"/>
  <c r="B669" i="23"/>
  <c r="B670" i="23"/>
  <c r="B671" i="23"/>
  <c r="B672" i="23"/>
  <c r="B673" i="23"/>
  <c r="B674" i="23"/>
  <c r="B675" i="23"/>
  <c r="B676" i="23"/>
  <c r="B677" i="23"/>
  <c r="B678" i="23"/>
  <c r="B679" i="23"/>
  <c r="B680" i="23"/>
  <c r="B681" i="23"/>
  <c r="B682" i="23"/>
  <c r="B683" i="23"/>
  <c r="B684" i="23"/>
  <c r="B685" i="23"/>
  <c r="B686" i="23"/>
  <c r="B687" i="23"/>
  <c r="B688" i="23"/>
  <c r="B689" i="23"/>
  <c r="B690" i="23"/>
  <c r="B691" i="23"/>
  <c r="B692" i="23"/>
  <c r="B693" i="23"/>
  <c r="B694" i="23"/>
  <c r="B695" i="23"/>
  <c r="B696" i="23"/>
  <c r="B697" i="23"/>
  <c r="B698" i="23"/>
  <c r="B699" i="23"/>
  <c r="B700" i="23"/>
  <c r="B701" i="23"/>
  <c r="B702" i="23"/>
  <c r="B703" i="23"/>
  <c r="B704" i="23"/>
  <c r="B705" i="23"/>
  <c r="B706" i="23"/>
  <c r="B707" i="23"/>
  <c r="B708" i="23"/>
  <c r="B709" i="23"/>
  <c r="B710" i="23"/>
  <c r="B711" i="23"/>
  <c r="B712" i="23"/>
  <c r="B713" i="23"/>
  <c r="B714" i="23"/>
  <c r="B715" i="23"/>
  <c r="B716" i="23"/>
  <c r="B717" i="23"/>
  <c r="B718" i="23"/>
  <c r="B719" i="23"/>
  <c r="B720" i="23"/>
  <c r="B721" i="23"/>
  <c r="B722" i="23"/>
  <c r="B723" i="23"/>
  <c r="B724" i="23"/>
  <c r="B725" i="23"/>
  <c r="B726" i="23"/>
  <c r="B727" i="23"/>
  <c r="B728" i="23"/>
  <c r="B729" i="23"/>
  <c r="B730" i="23"/>
  <c r="B731" i="23"/>
  <c r="B732" i="23"/>
  <c r="B733" i="23"/>
  <c r="B734" i="23"/>
  <c r="B735" i="23"/>
  <c r="B736" i="23"/>
  <c r="B737" i="23"/>
  <c r="B738" i="23"/>
  <c r="B739" i="23"/>
  <c r="B740" i="23"/>
  <c r="B741" i="23"/>
  <c r="B742" i="23"/>
  <c r="B743" i="23"/>
  <c r="B744" i="23"/>
  <c r="B745" i="23"/>
  <c r="B746" i="23"/>
  <c r="B747" i="23"/>
  <c r="B748" i="23"/>
  <c r="B749" i="23"/>
  <c r="B750" i="23"/>
  <c r="B751" i="23"/>
  <c r="B752" i="23"/>
  <c r="B753" i="23"/>
  <c r="B754" i="23"/>
  <c r="B755" i="23"/>
  <c r="B756" i="23"/>
  <c r="B757" i="23"/>
  <c r="B758" i="23"/>
  <c r="B759" i="23"/>
  <c r="B760" i="23"/>
  <c r="B761" i="23"/>
  <c r="B762" i="23"/>
  <c r="B763" i="23"/>
  <c r="B764" i="23"/>
  <c r="B765" i="23"/>
  <c r="B766" i="23"/>
  <c r="B767" i="23"/>
  <c r="B768" i="23"/>
  <c r="B769" i="23"/>
  <c r="B770" i="23"/>
  <c r="B771" i="23"/>
  <c r="B772" i="23"/>
  <c r="B773" i="23"/>
  <c r="B774" i="23"/>
  <c r="B775" i="23"/>
  <c r="B776" i="23"/>
  <c r="B777" i="23"/>
  <c r="B778" i="23"/>
  <c r="B779" i="23"/>
  <c r="B780" i="23"/>
  <c r="B781" i="23"/>
  <c r="B782" i="23"/>
  <c r="B783" i="23"/>
  <c r="B784" i="23"/>
  <c r="B785" i="23"/>
  <c r="B786" i="23"/>
  <c r="B787" i="23"/>
  <c r="B788" i="23"/>
  <c r="B789" i="23"/>
  <c r="B790" i="23"/>
  <c r="B791" i="23"/>
  <c r="B792" i="23"/>
  <c r="B793" i="23"/>
  <c r="B794" i="23"/>
  <c r="B795" i="23"/>
  <c r="B796" i="23"/>
  <c r="B797" i="23"/>
  <c r="B798" i="23"/>
  <c r="B799" i="23"/>
  <c r="B800" i="23"/>
  <c r="B801" i="23"/>
  <c r="B802" i="23"/>
  <c r="B803" i="23"/>
  <c r="B804" i="23"/>
  <c r="B805" i="23"/>
  <c r="B806" i="23"/>
  <c r="B807" i="23"/>
  <c r="B808" i="23"/>
  <c r="B809" i="23"/>
  <c r="B810" i="23"/>
  <c r="B811" i="23"/>
  <c r="B812" i="23"/>
  <c r="B813" i="23"/>
  <c r="B814" i="23"/>
  <c r="B815" i="23"/>
  <c r="B816" i="23"/>
  <c r="B817" i="23"/>
  <c r="B818" i="23"/>
  <c r="B819" i="23"/>
  <c r="B820" i="23"/>
  <c r="B821" i="23"/>
  <c r="B822" i="23"/>
  <c r="B823" i="23"/>
  <c r="B824" i="23"/>
  <c r="B825" i="23"/>
  <c r="B826" i="23"/>
  <c r="B827" i="23"/>
  <c r="B828" i="23"/>
  <c r="B829" i="23"/>
  <c r="B830" i="23"/>
  <c r="B831" i="23"/>
  <c r="B832" i="23"/>
  <c r="B833" i="23"/>
  <c r="B834" i="23"/>
  <c r="B835" i="23"/>
  <c r="B836" i="23"/>
  <c r="B837" i="23"/>
  <c r="B838" i="23"/>
  <c r="B839" i="23"/>
  <c r="B840" i="23"/>
  <c r="B841" i="23"/>
  <c r="B842" i="23"/>
  <c r="B843" i="23"/>
  <c r="B844" i="23"/>
  <c r="B845" i="23"/>
  <c r="B846" i="23"/>
  <c r="B847" i="23"/>
  <c r="B848" i="23"/>
  <c r="B849" i="23"/>
  <c r="B850" i="23"/>
  <c r="B851" i="23"/>
  <c r="B852" i="23"/>
  <c r="B853" i="23"/>
  <c r="B854" i="23"/>
  <c r="B855" i="23"/>
  <c r="B856" i="23"/>
  <c r="B857" i="23"/>
  <c r="B858" i="23"/>
  <c r="B859" i="23"/>
  <c r="B860" i="23"/>
  <c r="B861" i="23"/>
  <c r="B862" i="23"/>
  <c r="B863" i="23"/>
  <c r="B864" i="23"/>
  <c r="B865" i="23"/>
  <c r="B866" i="23"/>
  <c r="B867" i="23"/>
  <c r="B868" i="23"/>
  <c r="B869" i="23"/>
  <c r="B870" i="23"/>
  <c r="B871" i="23"/>
  <c r="B872" i="23"/>
  <c r="B873" i="23"/>
  <c r="B874" i="23"/>
  <c r="B875" i="23"/>
  <c r="B876" i="23"/>
  <c r="B877" i="23"/>
  <c r="B878" i="23"/>
  <c r="B879" i="23"/>
  <c r="B880" i="23"/>
  <c r="B881" i="23"/>
  <c r="B882" i="23"/>
  <c r="B883" i="23"/>
  <c r="B884" i="23"/>
  <c r="B885" i="23"/>
  <c r="B886" i="23"/>
  <c r="B887" i="23"/>
  <c r="B888" i="23"/>
  <c r="B889" i="23"/>
  <c r="B890" i="23"/>
  <c r="B891" i="23"/>
  <c r="B892" i="23"/>
  <c r="B893" i="23"/>
  <c r="B894" i="23"/>
  <c r="B895" i="23"/>
  <c r="B896" i="23"/>
  <c r="B897" i="23"/>
  <c r="B898" i="23"/>
  <c r="B899" i="23"/>
  <c r="B900" i="23"/>
  <c r="B901" i="23"/>
  <c r="B902" i="23"/>
  <c r="B903" i="23"/>
  <c r="B904" i="23"/>
  <c r="B905" i="23"/>
  <c r="B906" i="23"/>
  <c r="B907" i="23"/>
  <c r="B908" i="23"/>
  <c r="B909" i="23"/>
  <c r="B910" i="23"/>
  <c r="B911" i="23"/>
  <c r="B912" i="23"/>
  <c r="B913" i="23"/>
  <c r="B914" i="23"/>
  <c r="B915" i="23"/>
  <c r="B916" i="23"/>
  <c r="B917" i="23"/>
  <c r="B918" i="23"/>
  <c r="B5" i="23"/>
  <c r="B1" i="23"/>
  <c r="H17" i="17"/>
  <c r="I17" i="17"/>
  <c r="J17" i="17"/>
  <c r="K17" i="17"/>
  <c r="L998" i="17"/>
  <c r="L997" i="17"/>
  <c r="N997" i="17"/>
  <c r="O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J2" i="17"/>
  <c r="O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J997" i="17"/>
  <c r="O997" i="17" s="1"/>
  <c r="K997" i="17"/>
  <c r="I998" i="17"/>
  <c r="N998" i="17" s="1"/>
  <c r="J998" i="17"/>
  <c r="O998" i="17" s="1"/>
  <c r="K998" i="17"/>
  <c r="I999" i="17"/>
  <c r="N999" i="17" s="1"/>
  <c r="J999" i="17"/>
  <c r="O999" i="17" s="1"/>
  <c r="K999" i="17"/>
  <c r="L999" i="17"/>
  <c r="M999" i="17" s="1"/>
  <c r="I1000" i="17"/>
  <c r="N1000" i="17" s="1"/>
  <c r="J1000" i="17"/>
  <c r="O1000" i="17" s="1"/>
  <c r="K1000" i="17"/>
  <c r="L1000" i="17"/>
  <c r="M1000" i="17" s="1"/>
  <c r="I1001" i="17"/>
  <c r="N1001" i="17" s="1"/>
  <c r="J1001" i="17"/>
  <c r="K1001" i="17"/>
  <c r="L1001" i="17"/>
  <c r="M1001" i="17" s="1"/>
  <c r="K2" i="17"/>
  <c r="L2" i="17"/>
  <c r="M2" i="17" s="1"/>
  <c r="H2" i="17"/>
  <c r="H3" i="17"/>
  <c r="H4" i="17"/>
  <c r="H5" i="17"/>
  <c r="H6" i="17"/>
  <c r="H7" i="17"/>
  <c r="H8" i="17"/>
  <c r="H9" i="17"/>
  <c r="H10" i="17"/>
  <c r="H11" i="17"/>
  <c r="H12" i="17"/>
  <c r="H13" i="17"/>
  <c r="H14" i="17"/>
  <c r="H15" i="17"/>
  <c r="H16"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O6" i="23" l="1"/>
  <c r="O7" i="23"/>
  <c r="O8" i="23"/>
  <c r="O9" i="23"/>
  <c r="O5" i="23"/>
  <c r="K5" i="23"/>
  <c r="K918" i="23"/>
  <c r="N17" i="17"/>
  <c r="O17" i="17"/>
  <c r="M998" i="17"/>
  <c r="M997" i="17"/>
</calcChain>
</file>

<file path=xl/sharedStrings.xml><?xml version="1.0" encoding="utf-8"?>
<sst xmlns="http://schemas.openxmlformats.org/spreadsheetml/2006/main" count="12990" uniqueCount="6246">
  <si>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</si>
  <si>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</si>
  <si>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</si>
  <si>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</si>
  <si>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</si>
  <si>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</si>
  <si>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</si>
  <si>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</si>
  <si>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</si>
  <si>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</si>
  <si>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</si>
  <si>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</si>
  <si>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</si>
  <si>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</si>
  <si>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</si>
  <si>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</si>
  <si>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</si>
  <si>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</si>
  <si>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</si>
  <si>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</si>
  <si>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</si>
  <si>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</si>
  <si>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</si>
  <si>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</si>
  <si>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</si>
  <si>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</si>
  <si>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</si>
  <si>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</si>
  <si>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</si>
  <si>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</si>
  <si>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</si>
  <si>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</si>
  <si>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</si>
  <si>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</si>
  <si>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</si>
  <si>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</si>
  <si>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</si>
  <si>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</si>
  <si>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</si>
  <si>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</si>
  <si>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</si>
  <si>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</si>
  <si>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</si>
  <si>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</si>
  <si>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</si>
  <si>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</si>
  <si>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</si>
  <si>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</si>
  <si>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</si>
  <si>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</si>
  <si>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</si>
  <si>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</si>
  <si>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</si>
  <si>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</si>
  <si>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</si>
  <si>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</si>
  <si>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</si>
  <si>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</si>
  <si>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</si>
  <si>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</si>
  <si>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</si>
  <si>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</si>
  <si>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</si>
  <si>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</si>
  <si>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</si>
  <si>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</si>
  <si>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</si>
  <si>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</si>
  <si>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</si>
  <si>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</si>
  <si>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</si>
  <si>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</si>
  <si>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</si>
  <si>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</si>
  <si>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</si>
  <si>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</si>
  <si>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</si>
  <si>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</si>
  <si>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</si>
  <si>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</si>
  <si>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</si>
  <si>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</si>
  <si>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</si>
  <si>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</si>
  <si>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</si>
  <si>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</si>
  <si>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</si>
  <si>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</si>
  <si>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</si>
  <si>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</si>
  <si>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</si>
  <si>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</si>
  <si>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</si>
  <si>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</si>
  <si>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</si>
  <si>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</si>
  <si>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</si>
  <si>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</si>
  <si>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</si>
  <si>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</si>
  <si>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</si>
  <si>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</si>
  <si>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</si>
  <si>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</si>
  <si>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</si>
  <si>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</si>
  <si>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</si>
  <si>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</si>
  <si>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</si>
  <si>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</si>
  <si>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</si>
  <si>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</si>
  <si>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</si>
  <si>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</si>
  <si>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</si>
  <si>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</si>
  <si>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</si>
  <si>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</si>
  <si>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</si>
  <si>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</si>
  <si>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</si>
  <si>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</si>
  <si>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</si>
  <si>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</si>
  <si>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</si>
  <si>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</si>
  <si>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</si>
  <si>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</si>
  <si>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</si>
  <si>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</si>
  <si>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</si>
  <si>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</si>
  <si>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</si>
  <si>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</si>
  <si>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</si>
  <si>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</si>
  <si>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</si>
  <si>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</si>
  <si>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</si>
  <si>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</si>
  <si>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</si>
  <si>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</si>
  <si>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</si>
  <si>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</si>
  <si>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</si>
  <si>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</si>
  <si>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</si>
  <si>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</si>
  <si>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</si>
  <si>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</si>
  <si>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</si>
  <si>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</si>
  <si>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</si>
  <si>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</si>
  <si>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</si>
  <si>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</si>
  <si>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</si>
  <si>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</si>
  <si>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</si>
  <si>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</si>
  <si>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</si>
  <si>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</si>
  <si>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</si>
  <si>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</si>
  <si>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</si>
  <si>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</si>
  <si>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</si>
  <si>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</si>
  <si>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</si>
  <si>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</si>
  <si>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</si>
  <si>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</si>
  <si>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</si>
  <si>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</si>
  <si>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</si>
  <si>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</si>
  <si>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</si>
  <si>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</si>
  <si>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</si>
  <si>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</si>
  <si>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</si>
  <si>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</si>
  <si>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</si>
  <si>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</si>
  <si>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</si>
  <si>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</si>
  <si>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</si>
  <si>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</si>
  <si>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</si>
  <si>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</si>
  <si>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</si>
  <si>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</si>
  <si>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</si>
  <si>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</si>
  <si>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</si>
  <si>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</si>
  <si>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</si>
  <si>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</si>
  <si>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</si>
  <si>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</si>
  <si>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</si>
  <si>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</si>
  <si>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</si>
  <si>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</si>
  <si>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</si>
  <si>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</si>
  <si>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</si>
  <si>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</si>
  <si>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</si>
  <si>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</si>
  <si>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</si>
  <si>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</si>
  <si>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</si>
  <si>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</si>
  <si>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</si>
  <si>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</si>
  <si>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</si>
  <si>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</si>
  <si>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</si>
  <si>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</si>
  <si>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</si>
  <si>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</si>
  <si>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</si>
  <si>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</si>
  <si>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</si>
  <si>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</si>
  <si>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</si>
  <si>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</si>
  <si>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</si>
  <si>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</si>
  <si>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</si>
  <si>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</si>
  <si>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</si>
  <si>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</si>
  <si>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</si>
  <si>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</si>
  <si>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</si>
  <si>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</si>
  <si>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</si>
  <si>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</si>
  <si>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</si>
  <si>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</si>
  <si>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</si>
  <si>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</si>
  <si>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</si>
  <si>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</si>
  <si>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</si>
  <si>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</si>
  <si>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</si>
  <si>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</si>
  <si>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</si>
  <si>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</si>
  <si>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</si>
  <si>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</si>
  <si>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</si>
  <si>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</si>
  <si>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</si>
  <si>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</si>
  <si>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</si>
  <si>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</si>
  <si>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</si>
  <si>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</si>
  <si>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</si>
  <si>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</si>
  <si>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</si>
  <si>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</si>
  <si>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</si>
  <si>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</si>
  <si>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</si>
  <si>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</si>
  <si>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</si>
  <si>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</si>
  <si>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</si>
  <si>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</si>
  <si>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</si>
  <si>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</si>
  <si>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</si>
  <si>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</si>
  <si>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</si>
  <si>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</si>
  <si>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</si>
  <si>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</si>
  <si>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</si>
  <si>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</si>
  <si>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</si>
  <si>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</si>
  <si>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</si>
  <si>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</si>
  <si>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</si>
  <si>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</si>
  <si>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</si>
  <si>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</si>
  <si>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</si>
  <si>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</si>
  <si>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</si>
  <si>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</si>
  <si>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</si>
  <si>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</si>
  <si>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</si>
  <si>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</si>
  <si>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</si>
  <si>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</si>
  <si>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</si>
  <si>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</si>
  <si>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</si>
  <si>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</si>
  <si>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</si>
  <si>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</si>
  <si>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</si>
  <si>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</si>
  <si>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</si>
  <si>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</si>
  <si>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</si>
  <si>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</si>
  <si>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</si>
  <si>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</si>
  <si>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</si>
  <si>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</si>
  <si>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</si>
  <si>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</si>
  <si>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</si>
  <si>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</si>
  <si>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</si>
  <si>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</si>
  <si>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</si>
  <si>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</si>
  <si>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</si>
  <si>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</si>
  <si>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</si>
  <si>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</si>
  <si>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</si>
  <si>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</si>
  <si>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</si>
  <si>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</si>
  <si>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</si>
  <si>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</si>
  <si>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</si>
  <si>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</si>
  <si>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</si>
  <si>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</si>
  <si>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</si>
  <si>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</si>
  <si>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</si>
  <si>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</si>
  <si>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</si>
  <si>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</si>
  <si>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</si>
  <si>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</si>
  <si>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</si>
  <si>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</si>
  <si>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</si>
  <si>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</si>
  <si>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</si>
  <si>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</si>
  <si>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</si>
  <si>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</si>
  <si>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</si>
  <si>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</si>
  <si>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</si>
  <si>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</si>
  <si>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</si>
  <si>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</si>
  <si>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</si>
  <si>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</si>
  <si>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</si>
  <si>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</si>
  <si>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</si>
  <si>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</si>
  <si>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</si>
  <si>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</si>
  <si>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</si>
  <si>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</si>
  <si>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</si>
  <si>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</si>
  <si>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</si>
  <si>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</si>
  <si>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</si>
  <si>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</si>
  <si>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</si>
  <si>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</si>
  <si>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</si>
  <si>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</si>
  <si>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</si>
  <si>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</si>
  <si>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</si>
  <si>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</si>
  <si>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</si>
  <si>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</si>
  <si>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</si>
  <si>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</si>
  <si>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</si>
  <si>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</si>
  <si>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</si>
  <si>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</si>
  <si>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</si>
  <si>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</si>
  <si>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</si>
  <si>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</si>
  <si>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</si>
  <si>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</si>
  <si>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</si>
  <si>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</si>
  <si>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</si>
  <si>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</si>
  <si>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</si>
  <si>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</si>
  <si>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</si>
  <si>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</si>
  <si>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</si>
  <si>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</si>
  <si>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</si>
  <si>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</si>
  <si>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</si>
  <si>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</si>
  <si>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</si>
  <si>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</si>
  <si>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</si>
  <si>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</si>
  <si>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</si>
  <si>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</si>
  <si>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</si>
  <si>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</si>
  <si>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</si>
  <si>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</si>
  <si>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</si>
  <si>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</si>
  <si>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</si>
  <si>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</si>
  <si>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</si>
  <si>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</si>
  <si>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</si>
  <si>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</si>
  <si>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</si>
  <si>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</si>
  <si>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</si>
  <si>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</si>
  <si>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</si>
  <si>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</si>
  <si>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</si>
  <si>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</si>
  <si>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</si>
  <si>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</si>
  <si>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</si>
  <si>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</si>
  <si>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</si>
  <si>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</si>
  <si>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</si>
  <si>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</si>
  <si>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</si>
  <si>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</si>
  <si>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</si>
  <si>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</si>
  <si>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</si>
  <si>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</si>
  <si>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</si>
  <si>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</si>
  <si>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</si>
  <si>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</si>
  <si>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</si>
  <si>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</si>
  <si>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</si>
  <si>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</si>
  <si>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</si>
  <si>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</si>
  <si>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</si>
  <si>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</si>
  <si>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</si>
  <si>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</si>
  <si>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</si>
  <si>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</si>
  <si>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</si>
  <si>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</si>
  <si>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</si>
  <si>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</si>
  <si>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</si>
  <si>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</si>
  <si>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</si>
  <si>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</si>
  <si>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</si>
  <si>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</si>
  <si>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</si>
  <si>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</si>
  <si>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</si>
  <si>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</si>
  <si>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</si>
  <si>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</si>
  <si>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</si>
  <si>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</si>
  <si>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</si>
  <si>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</si>
  <si>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</si>
  <si>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</si>
  <si>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</si>
  <si>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</si>
  <si>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</si>
  <si>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</si>
  <si>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</si>
  <si>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</si>
  <si>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</si>
  <si>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</si>
  <si>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</si>
  <si>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</si>
  <si>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</si>
  <si>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</si>
  <si>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</si>
  <si>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</si>
  <si>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</si>
  <si>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</si>
  <si>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</si>
  <si>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</si>
  <si>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</si>
  <si>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</si>
  <si>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</si>
  <si>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</si>
  <si>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</si>
  <si>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</si>
  <si>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</si>
  <si>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</si>
  <si>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</si>
  <si>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</si>
  <si>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</si>
  <si>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</si>
  <si>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</si>
  <si>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</si>
  <si>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</si>
  <si>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</si>
  <si>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</si>
  <si>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</si>
  <si>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</si>
  <si>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</si>
  <si>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</si>
  <si>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</si>
  <si>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</si>
  <si>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</si>
  <si>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</si>
  <si>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</si>
  <si>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</si>
  <si>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</si>
  <si>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</si>
  <si>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</si>
  <si>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</si>
  <si>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</si>
  <si>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</si>
  <si>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</si>
  <si>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</si>
  <si>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</si>
  <si>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</si>
  <si>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</si>
  <si>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</si>
  <si>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</si>
  <si>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</si>
  <si>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</si>
  <si>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</si>
  <si>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</si>
  <si>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</si>
  <si>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</si>
  <si>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</si>
  <si>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</si>
  <si>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</si>
  <si>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</si>
  <si>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</si>
  <si>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</si>
  <si>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</si>
  <si>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</si>
  <si>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</si>
  <si>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</si>
  <si>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</si>
  <si>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</si>
  <si>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</si>
  <si>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</si>
  <si>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</si>
  <si>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</si>
  <si>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</si>
  <si>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</si>
  <si>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</si>
  <si>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</si>
  <si>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</si>
  <si>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</si>
  <si>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</si>
  <si>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</si>
  <si>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</si>
  <si>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</si>
  <si>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</si>
  <si>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</si>
  <si>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</si>
  <si>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</si>
  <si>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</si>
  <si>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</si>
  <si>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</si>
  <si>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</si>
  <si>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</si>
  <si>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</si>
  <si>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</si>
  <si>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</si>
  <si>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</si>
  <si>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</si>
  <si>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</si>
  <si>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</si>
  <si>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</si>
  <si>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</si>
  <si>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</si>
  <si>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</si>
  <si>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</si>
  <si>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</si>
  <si>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</si>
  <si>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</si>
  <si>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</si>
  <si>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</si>
  <si>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</si>
  <si>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</si>
  <si>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</si>
  <si>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</si>
  <si>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</si>
  <si>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</si>
  <si>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</si>
  <si>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</si>
  <si>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</si>
  <si>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</si>
  <si>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</si>
  <si>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</si>
  <si>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</si>
  <si>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</si>
  <si>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</si>
  <si>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</si>
  <si>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</si>
  <si>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</si>
  <si>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</si>
  <si>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</si>
  <si>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</si>
  <si>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</si>
  <si>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</si>
  <si>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</si>
  <si>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</si>
  <si>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</si>
  <si>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</si>
  <si>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</si>
  <si>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</si>
  <si>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</si>
  <si>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</si>
  <si>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</si>
  <si>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</si>
  <si>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</si>
  <si>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</si>
  <si>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</si>
  <si>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</si>
  <si>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</si>
  <si>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</si>
  <si>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</si>
  <si>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</si>
  <si>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</si>
  <si>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</si>
  <si>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</si>
  <si>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</si>
  <si>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</si>
  <si>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</si>
  <si>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</si>
  <si>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</si>
  <si>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</si>
  <si>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</si>
  <si>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</si>
  <si>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</si>
  <si>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</si>
  <si>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</si>
  <si>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</si>
  <si>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</si>
  <si>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</si>
  <si>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</si>
  <si>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</si>
  <si>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</si>
  <si>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</si>
  <si>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</si>
  <si>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</si>
  <si>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</si>
  <si>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</si>
  <si>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</si>
  <si>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</si>
  <si>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</si>
  <si>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</si>
  <si>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</si>
  <si>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</si>
  <si>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</si>
  <si>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</si>
  <si>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</si>
  <si>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</si>
  <si>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</si>
  <si>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</si>
  <si>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</si>
  <si>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</si>
  <si>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</si>
  <si>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</si>
  <si>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</si>
  <si>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</si>
  <si>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</si>
  <si>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</si>
  <si>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</si>
  <si>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</si>
  <si>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</si>
  <si>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</si>
  <si>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</si>
  <si>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</si>
  <si>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</si>
  <si>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</si>
  <si>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</si>
  <si>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</si>
  <si>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</si>
  <si>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</si>
  <si>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</si>
  <si>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</si>
  <si>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</si>
  <si>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</si>
  <si>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</si>
  <si>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</si>
  <si>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</si>
  <si>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</si>
  <si>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</si>
  <si>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</si>
  <si>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</si>
  <si>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</si>
  <si>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</si>
  <si>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</si>
  <si>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</si>
  <si>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</si>
  <si>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</si>
  <si>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</si>
  <si>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</si>
  <si>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</si>
  <si>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</si>
  <si>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</si>
  <si>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</si>
  <si>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</si>
  <si>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</si>
  <si>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</si>
  <si>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</si>
  <si>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</si>
  <si>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</si>
  <si>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</si>
  <si>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</si>
  <si>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</si>
  <si>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</si>
  <si>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</si>
  <si>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</si>
  <si>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</si>
  <si>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</si>
  <si>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</si>
  <si>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</si>
  <si>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</si>
  <si>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</si>
  <si>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</si>
  <si>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</si>
  <si>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</si>
  <si>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</si>
  <si>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</si>
  <si>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</si>
  <si>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</si>
  <si>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</si>
  <si>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</si>
  <si>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</si>
  <si>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</si>
  <si>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</si>
  <si>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</si>
  <si>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</si>
  <si>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</si>
  <si>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</si>
  <si>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</si>
  <si>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</si>
  <si>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</si>
  <si>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</si>
  <si>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</si>
  <si>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</si>
  <si>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</si>
  <si>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</si>
  <si>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</si>
  <si>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</si>
  <si>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</si>
  <si>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</si>
  <si>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</si>
  <si>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</si>
  <si>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</si>
  <si>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</si>
  <si>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</si>
  <si>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</si>
  <si>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</si>
  <si>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</si>
  <si>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</si>
  <si>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</si>
  <si>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</si>
  <si>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</si>
  <si>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</si>
  <si>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</si>
  <si>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</si>
  <si>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</si>
  <si>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</si>
  <si>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</si>
  <si>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</si>
  <si>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</si>
  <si>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</si>
  <si>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</si>
  <si>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</si>
  <si>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</si>
  <si>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</si>
  <si>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</si>
  <si>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</si>
  <si>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</si>
  <si>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</si>
  <si>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</si>
  <si>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</si>
  <si>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</si>
  <si>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</si>
  <si>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</si>
  <si>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</si>
  <si>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</si>
  <si>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</si>
  <si>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</si>
  <si>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</si>
  <si>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</si>
  <si>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</si>
  <si>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</si>
  <si>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</si>
  <si>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</si>
  <si>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</si>
  <si>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</si>
  <si>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</si>
  <si>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</si>
  <si>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</si>
  <si>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</si>
  <si>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</si>
  <si>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</si>
  <si>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</si>
  <si>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</si>
  <si>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</si>
  <si>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</si>
  <si>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</si>
  <si>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</si>
  <si>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</si>
  <si>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</si>
  <si>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</si>
  <si>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</si>
  <si>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</si>
  <si>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</si>
  <si>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</si>
  <si>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</si>
  <si>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</si>
  <si>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</si>
  <si>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</si>
  <si>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</si>
  <si>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</si>
  <si>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</si>
  <si>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</si>
  <si>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</si>
  <si>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</si>
  <si>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</si>
  <si>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</si>
  <si>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</si>
  <si>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</si>
  <si>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</si>
  <si>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</si>
  <si>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</si>
  <si>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</si>
  <si>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</si>
  <si>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</si>
  <si>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</si>
  <si>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</si>
  <si>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</si>
  <si>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</si>
  <si>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</si>
  <si>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</si>
  <si>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</si>
  <si>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</si>
  <si>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</si>
  <si>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</si>
  <si>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</si>
  <si>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</si>
  <si>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</si>
  <si>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</si>
  <si>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</si>
  <si>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</si>
  <si>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</si>
  <si>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</si>
  <si>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</si>
  <si>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</si>
  <si>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</si>
  <si>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</si>
  <si>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</si>
  <si>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</si>
  <si>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</si>
  <si>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</si>
  <si>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</si>
  <si>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</si>
  <si>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</si>
  <si>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</si>
  <si>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</si>
  <si>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</si>
  <si>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</si>
  <si>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</si>
  <si>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</si>
  <si>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</si>
  <si>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</si>
  <si>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</si>
  <si>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</si>
  <si>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</si>
  <si>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</si>
  <si>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</si>
  <si>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</si>
  <si>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</si>
  <si>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</si>
  <si>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</si>
  <si>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</si>
  <si>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</si>
  <si>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</si>
  <si>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</si>
  <si>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</si>
  <si>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</si>
  <si>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</si>
  <si>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</si>
  <si>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</si>
  <si>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</si>
  <si>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</si>
  <si>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</si>
  <si>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</si>
  <si>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</si>
  <si>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</si>
  <si>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</si>
  <si>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</si>
  <si>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</si>
  <si>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</si>
  <si>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</si>
  <si>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</si>
  <si>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</si>
  <si>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</si>
  <si>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</si>
  <si>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</si>
  <si>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</si>
  <si>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</si>
  <si>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</si>
  <si>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</si>
  <si>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</si>
  <si>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</si>
  <si>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</si>
  <si>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</si>
  <si>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</si>
  <si>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</si>
  <si>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</si>
  <si>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</si>
  <si>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</si>
  <si>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</si>
  <si>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</si>
  <si>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</si>
  <si>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</si>
  <si>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</si>
  <si>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</si>
  <si>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</si>
  <si>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</si>
  <si>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</si>
  <si>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</si>
  <si>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</si>
  <si>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</si>
  <si>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</si>
  <si>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</si>
  <si>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</si>
  <si>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</si>
  <si>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</si>
  <si>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</si>
  <si>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</si>
  <si>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</si>
  <si>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</si>
  <si>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</si>
  <si>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</si>
  <si>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</si>
  <si>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</si>
  <si>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</si>
  <si>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</si>
  <si>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</si>
  <si>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</si>
  <si>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</si>
  <si>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</si>
  <si>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</si>
  <si>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</si>
  <si>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</si>
  <si>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</si>
  <si>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</si>
  <si>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</si>
  <si>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</si>
  <si>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</si>
  <si>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</si>
  <si>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</si>
  <si>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</si>
  <si>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</si>
  <si>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</si>
  <si>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</si>
  <si>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</si>
  <si>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</si>
  <si>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</si>
  <si>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</si>
  <si>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</si>
  <si>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</si>
  <si>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</si>
  <si>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</si>
  <si>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</si>
  <si>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</si>
  <si>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</si>
  <si>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</si>
  <si>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</si>
  <si>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</si>
  <si>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</si>
  <si>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</si>
  <si>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</si>
  <si>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</si>
  <si>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</si>
  <si>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</si>
  <si>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</si>
  <si>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</si>
  <si>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</si>
  <si>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</si>
  <si>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</si>
  <si>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</si>
  <si>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</si>
  <si>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</si>
  <si>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</si>
  <si>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</si>
  <si>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</si>
  <si>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</si>
  <si>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</si>
  <si>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</si>
  <si>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</si>
  <si>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</si>
  <si>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</si>
  <si>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</si>
  <si>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</si>
  <si>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</si>
  <si>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</si>
  <si>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</si>
  <si>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</si>
  <si>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</si>
  <si>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</si>
  <si>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</si>
  <si>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</si>
  <si>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</si>
  <si>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</si>
  <si>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</si>
  <si>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</si>
  <si>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</si>
  <si>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</si>
  <si>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</si>
  <si>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</si>
  <si>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</si>
  <si>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</si>
  <si>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</si>
  <si>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</si>
  <si>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</si>
  <si>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</si>
  <si>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</si>
  <si>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</si>
  <si>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</si>
  <si>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</si>
  <si>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</si>
  <si>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</si>
  <si>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</si>
  <si>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</si>
  <si>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</si>
  <si>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</si>
  <si>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</si>
  <si>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</si>
  <si>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</si>
  <si>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</si>
  <si>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</si>
  <si>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</si>
  <si>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</si>
  <si>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</si>
  <si>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</si>
  <si>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</si>
  <si>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</si>
  <si>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</si>
  <si>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</si>
  <si>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</si>
  <si>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</si>
  <si>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</si>
  <si>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</si>
  <si>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</si>
  <si>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</si>
  <si>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</si>
  <si>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</si>
  <si>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</si>
  <si>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</si>
  <si>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</si>
  <si>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</si>
  <si>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</si>
  <si>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</si>
  <si>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</si>
  <si>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</si>
  <si>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</si>
  <si>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</si>
  <si>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</si>
  <si>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</si>
  <si>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</si>
  <si>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</si>
  <si>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</si>
  <si>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</si>
  <si>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</si>
  <si>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</si>
  <si>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</si>
  <si>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</si>
  <si>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</si>
  <si>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</si>
  <si>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</si>
  <si>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</si>
  <si>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</si>
  <si>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</si>
  <si>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</si>
  <si>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</si>
  <si>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</si>
  <si>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</si>
  <si>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</si>
  <si>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</si>
  <si>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</si>
  <si>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</si>
  <si>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</si>
  <si>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</si>
  <si>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</si>
  <si>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</si>
  <si>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</si>
  <si>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</si>
  <si>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</si>
  <si>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</si>
  <si>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</si>
  <si>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</si>
  <si>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</si>
  <si>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</si>
  <si>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</si>
  <si>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</si>
  <si>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</si>
  <si>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</si>
  <si>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</si>
  <si>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</si>
  <si>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</si>
  <si>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</si>
  <si>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</si>
  <si>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</si>
  <si>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</si>
  <si>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</si>
  <si>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</si>
  <si>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</si>
  <si>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</si>
  <si>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</si>
  <si>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</si>
  <si>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</si>
  <si>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</si>
  <si>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</si>
  <si>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</si>
  <si>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</si>
  <si>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</si>
  <si>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</si>
  <si>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</si>
  <si>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</si>
  <si>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</si>
  <si>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</si>
  <si>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</si>
  <si>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</si>
  <si>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</si>
  <si>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</si>
  <si>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</si>
  <si>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</si>
  <si>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</si>
  <si>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</si>
  <si>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</si>
  <si>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</si>
  <si>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</si>
  <si>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</si>
  <si>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</si>
  <si>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</si>
  <si>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</si>
  <si>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</si>
  <si>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</si>
  <si>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</si>
  <si>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</si>
  <si>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</si>
  <si>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</si>
  <si>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</si>
  <si>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</si>
  <si>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</si>
  <si>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</si>
  <si>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</si>
  <si>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</si>
  <si>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</si>
  <si>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</si>
  <si>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</si>
  <si>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</si>
  <si>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</si>
  <si>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</si>
  <si>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</si>
  <si>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</si>
  <si>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</si>
  <si>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</si>
  <si>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</si>
  <si>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</si>
  <si>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</si>
  <si>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</si>
  <si>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</si>
  <si>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</si>
  <si>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</si>
  <si>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</si>
  <si>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</si>
  <si>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</si>
  <si>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</si>
  <si>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</si>
  <si>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</si>
  <si>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</si>
  <si>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</si>
  <si>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</si>
  <si>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</si>
  <si>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</si>
  <si>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</si>
  <si>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</si>
  <si>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</si>
  <si>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</si>
  <si>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</si>
  <si>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</si>
  <si>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</si>
  <si>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</si>
  <si>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</si>
  <si>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</si>
  <si>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</si>
  <si>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</si>
  <si>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</si>
  <si>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</si>
  <si>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</si>
  <si>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</si>
  <si>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</si>
  <si>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</si>
  <si>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</si>
  <si>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</si>
  <si>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</si>
  <si>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</si>
  <si>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</si>
  <si>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</si>
  <si>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</si>
  <si>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</si>
  <si>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</si>
  <si>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</si>
  <si>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</si>
  <si>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</si>
  <si>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</si>
  <si>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</si>
  <si>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</si>
  <si>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</si>
  <si>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</si>
  <si>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</si>
  <si>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</si>
  <si>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</si>
  <si>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</si>
  <si>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</si>
  <si>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</si>
  <si>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</si>
  <si>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</si>
  <si>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</si>
  <si>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</si>
  <si>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</si>
  <si>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</si>
  <si>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</si>
  <si>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</si>
  <si>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</si>
  <si>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</si>
  <si>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</si>
  <si>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</si>
  <si>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</si>
  <si>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</si>
  <si>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</si>
  <si>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</si>
  <si>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</si>
  <si>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</si>
  <si>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</si>
  <si>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</si>
  <si>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</si>
  <si>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</si>
  <si>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</si>
  <si>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</si>
  <si>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</si>
  <si>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</si>
  <si>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</si>
  <si>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</si>
  <si>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</si>
  <si>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</si>
  <si>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</si>
  <si>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</si>
  <si>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</si>
  <si>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</si>
  <si>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</si>
  <si>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</si>
  <si>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</si>
  <si>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</si>
  <si>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</si>
  <si>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</si>
  <si>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</si>
  <si>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</si>
  <si>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</si>
  <si>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</si>
  <si>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</si>
  <si>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</si>
  <si>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</si>
  <si>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</si>
  <si>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</si>
  <si>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</si>
  <si>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</si>
  <si>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</si>
  <si>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</si>
  <si>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</si>
  <si>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</si>
  <si>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</si>
  <si>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</si>
  <si>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</si>
  <si>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</si>
  <si>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</si>
  <si>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</si>
  <si>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</si>
  <si>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</si>
  <si>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</si>
  <si>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</si>
  <si>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</si>
  <si>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</si>
  <si>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</si>
  <si>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</si>
  <si>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</si>
  <si>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</si>
  <si>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</si>
  <si>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</si>
  <si>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</si>
  <si>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</si>
  <si>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</si>
  <si>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</si>
  <si>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</si>
  <si>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</si>
  <si>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</si>
  <si>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</si>
  <si>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</si>
  <si>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</si>
  <si>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</si>
  <si>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</si>
  <si>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</si>
  <si>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</si>
  <si>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</si>
  <si>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</si>
  <si>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</si>
  <si>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</si>
  <si>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</si>
  <si>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</si>
  <si>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</si>
  <si>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</si>
  <si>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</si>
  <si>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</si>
  <si>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</si>
  <si>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</si>
  <si>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</si>
  <si>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</si>
  <si>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</si>
  <si>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</si>
  <si>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</si>
  <si>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</si>
  <si>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</si>
  <si>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</si>
  <si>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</si>
  <si>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</si>
  <si>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</si>
  <si>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</si>
  <si>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</si>
  <si>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</si>
  <si>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</si>
  <si>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</si>
  <si>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</si>
  <si>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</si>
  <si>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</si>
  <si>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</si>
  <si>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</si>
  <si>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</si>
  <si>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</si>
  <si>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</si>
  <si>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</si>
  <si>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</si>
  <si>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</si>
  <si>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</si>
  <si>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</si>
  <si>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</si>
  <si>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</si>
  <si>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</si>
  <si>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</si>
  <si>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</si>
  <si>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</si>
  <si>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</si>
  <si>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</si>
  <si>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</si>
  <si>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</si>
  <si>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</si>
  <si>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</si>
  <si>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</si>
  <si>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</si>
  <si>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</si>
  <si>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</si>
  <si>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</si>
  <si>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</si>
  <si>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</si>
  <si>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</si>
  <si>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</si>
  <si>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</si>
  <si>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</si>
  <si>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</si>
  <si>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</si>
  <si>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</si>
  <si>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</si>
  <si>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</si>
  <si>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</si>
  <si>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</si>
  <si>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</si>
  <si>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</si>
  <si>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</si>
  <si>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</si>
  <si>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</si>
  <si>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</si>
  <si>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</si>
  <si>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</si>
  <si>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</si>
  <si>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</si>
  <si>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</si>
  <si>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</si>
  <si>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</si>
  <si>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</si>
  <si>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</si>
  <si>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</si>
  <si>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</si>
  <si>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</si>
  <si>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</si>
  <si>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</si>
  <si>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</si>
  <si>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</si>
  <si>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</si>
  <si>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</si>
  <si>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</si>
  <si>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</si>
  <si>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</si>
  <si>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</si>
  <si>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</si>
  <si>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</si>
  <si>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</si>
  <si>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</si>
  <si>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</si>
  <si>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</si>
  <si>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</si>
  <si>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</si>
  <si>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</si>
  <si>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</si>
  <si>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</si>
  <si>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</si>
  <si>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</si>
  <si>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</si>
  <si>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</si>
  <si>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</si>
  <si>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</si>
  <si>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</si>
  <si>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</si>
  <si>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</si>
  <si>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</si>
  <si>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</si>
  <si>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</si>
  <si>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</si>
  <si>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</si>
  <si>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</si>
  <si>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</si>
  <si>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</si>
  <si>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</si>
  <si>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</si>
  <si>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</si>
  <si>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</si>
  <si>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</si>
  <si>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</si>
  <si>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</si>
  <si>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</si>
  <si>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</si>
  <si>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</si>
  <si>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</si>
  <si>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</si>
  <si>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</si>
  <si>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</si>
  <si>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</si>
  <si>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</si>
  <si>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</si>
  <si>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</si>
  <si>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</si>
  <si>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</si>
  <si>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</si>
  <si>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</si>
  <si>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</si>
  <si>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</si>
  <si>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</si>
  <si>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</si>
  <si>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</si>
  <si>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</si>
  <si>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</si>
  <si>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</si>
  <si>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</si>
  <si>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</si>
  <si>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</si>
  <si>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</si>
  <si>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</si>
  <si>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</si>
  <si>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</si>
  <si>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</si>
  <si>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</si>
  <si>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</si>
  <si>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</si>
  <si>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</si>
  <si>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</si>
  <si>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</si>
  <si>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</si>
  <si>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</si>
  <si>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</si>
  <si>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</si>
  <si>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</si>
  <si>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</si>
  <si>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</si>
  <si>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</si>
  <si>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</si>
  <si>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</si>
  <si>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</si>
  <si>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</si>
  <si>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</si>
  <si>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</si>
  <si>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</si>
  <si>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</si>
  <si>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</si>
  <si>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</si>
  <si>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</si>
  <si>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</si>
  <si>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</si>
  <si>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</si>
  <si>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</si>
  <si>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</si>
  <si>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</si>
  <si>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</si>
  <si>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</si>
  <si>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</si>
  <si>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</si>
  <si>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</si>
  <si>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</si>
  <si>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</si>
  <si>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</si>
  <si>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</si>
  <si>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</si>
  <si>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</si>
  <si>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</si>
  <si>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</si>
  <si>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</si>
  <si>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</si>
  <si>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</si>
  <si>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</si>
  <si>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</si>
  <si>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</si>
  <si>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</si>
  <si>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</si>
  <si>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</si>
  <si>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</si>
  <si>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</si>
  <si>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</si>
  <si>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</si>
  <si>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</si>
  <si>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</si>
  <si>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</si>
  <si>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</si>
  <si>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</si>
  <si>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</si>
  <si>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</si>
  <si>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</si>
  <si>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</si>
  <si>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</si>
  <si>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</si>
  <si>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</si>
  <si>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</si>
  <si>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</si>
  <si>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</si>
  <si>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</si>
  <si>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</si>
  <si>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</si>
  <si>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</si>
  <si>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</si>
  <si>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</si>
  <si>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</si>
  <si>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</si>
  <si>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</si>
  <si>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</si>
  <si>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</si>
  <si>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</si>
  <si>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</si>
  <si>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</si>
  <si>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</si>
  <si>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</si>
  <si>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</si>
  <si>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</si>
  <si>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</si>
  <si>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</si>
  <si>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</si>
  <si>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</si>
  <si>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</si>
  <si>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</si>
  <si>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</si>
  <si>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</si>
  <si>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</si>
  <si>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</si>
  <si>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</si>
  <si>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</si>
  <si>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</si>
  <si>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</si>
  <si>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</si>
  <si>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</si>
  <si>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</si>
  <si>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</si>
  <si>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</si>
  <si>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</si>
  <si>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</si>
  <si>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</si>
  <si>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</si>
  <si>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</si>
  <si>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</si>
  <si>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</si>
  <si>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</si>
  <si>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</si>
  <si>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</si>
  <si>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</si>
  <si>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</si>
  <si>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</si>
  <si>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</si>
  <si>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</si>
  <si>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</si>
  <si>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</si>
  <si>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</si>
  <si>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</si>
  <si>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</si>
  <si>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</si>
  <si>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</si>
  <si>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</si>
  <si>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</si>
  <si>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</si>
  <si>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</si>
  <si>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</si>
  <si>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</si>
  <si>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</si>
  <si>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</si>
  <si>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</si>
  <si>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</si>
  <si>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</si>
  <si>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</si>
  <si>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</si>
  <si>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</si>
  <si>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</si>
  <si>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</si>
  <si>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</si>
  <si>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</si>
  <si>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</si>
  <si>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</si>
  <si>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</si>
  <si>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</si>
  <si>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</si>
  <si>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</si>
  <si>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</si>
  <si>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</si>
  <si>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</si>
  <si>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</si>
  <si>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</si>
  <si>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</si>
  <si>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</si>
  <si>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</si>
  <si>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</si>
  <si>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</si>
  <si>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</si>
  <si>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</si>
  <si>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</si>
  <si>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</si>
  <si>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</si>
  <si>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</si>
  <si>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</si>
  <si>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</si>
  <si>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</si>
  <si>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</si>
  <si>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</si>
  <si>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</si>
  <si>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</si>
  <si>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</si>
  <si>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</si>
  <si>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</si>
  <si>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</si>
  <si>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</si>
  <si>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</si>
  <si>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</si>
  <si>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</si>
  <si>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</si>
  <si>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</si>
  <si>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</si>
  <si>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</si>
  <si>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</si>
  <si>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</si>
  <si>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</si>
  <si>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</si>
  <si>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</si>
  <si>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</si>
  <si>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</si>
  <si>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</si>
  <si>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</si>
  <si>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</si>
  <si>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</si>
  <si>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</si>
  <si>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</si>
  <si>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</si>
  <si>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</si>
  <si>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</si>
  <si>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</si>
  <si>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</si>
  <si>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</si>
  <si>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</si>
  <si>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</si>
  <si>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</si>
  <si>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</si>
  <si>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</si>
  <si>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</si>
  <si>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</si>
  <si>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</si>
  <si>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</si>
  <si>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</si>
  <si>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</si>
  <si>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</si>
  <si>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</si>
  <si>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</si>
  <si>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</si>
  <si>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</si>
  <si>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</si>
  <si>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</si>
  <si>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</si>
  <si>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</si>
  <si>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</si>
  <si>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</si>
  <si>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</si>
  <si>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</si>
  <si>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</si>
  <si>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</si>
  <si>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</si>
  <si>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</si>
  <si>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</si>
  <si>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</si>
  <si>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</si>
  <si>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</si>
  <si>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</si>
  <si>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</si>
  <si>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</si>
  <si>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</si>
  <si>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</si>
  <si>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</si>
  <si>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</si>
  <si>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</si>
  <si>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</si>
  <si>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</si>
  <si>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</si>
  <si>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</si>
  <si>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</si>
  <si>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</si>
  <si>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</si>
  <si>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</si>
  <si>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</si>
  <si>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</si>
  <si>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</si>
  <si>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</si>
  <si>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</si>
  <si>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</si>
  <si>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</si>
  <si>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</si>
  <si>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</si>
  <si>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</si>
  <si>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</si>
  <si>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</si>
  <si>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</si>
  <si>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</si>
  <si>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</si>
  <si>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</si>
  <si>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</si>
  <si>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</si>
  <si>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</si>
  <si>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</si>
  <si>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</si>
  <si>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</si>
  <si>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</si>
  <si>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</si>
  <si>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</si>
  <si>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</si>
  <si>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</si>
  <si>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</si>
  <si>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</si>
  <si>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</si>
  <si>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</si>
  <si>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</si>
  <si>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</si>
  <si>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</si>
  <si>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</si>
  <si>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</si>
  <si>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</si>
  <si>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</si>
  <si>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</si>
  <si>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</si>
  <si>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</si>
  <si>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</si>
  <si>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</si>
  <si>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</si>
  <si>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</si>
  <si>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</si>
  <si>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</si>
  <si>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</si>
  <si>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</si>
  <si>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</si>
  <si>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</si>
  <si>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</si>
  <si>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</si>
  <si>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</si>
  <si>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</si>
  <si>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</si>
  <si>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</si>
  <si>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</si>
  <si>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</si>
  <si>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</si>
  <si>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</si>
  <si>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</si>
  <si>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</si>
  <si>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</si>
  <si>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</si>
  <si>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</si>
  <si>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</si>
  <si>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</si>
  <si>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</si>
  <si>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</si>
  <si>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</si>
  <si>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</si>
  <si>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</si>
  <si>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</si>
  <si>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</si>
  <si>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</si>
  <si>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</si>
  <si>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</si>
  <si>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</si>
  <si>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</si>
  <si>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</si>
  <si>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</si>
  <si>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</si>
  <si>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</si>
  <si>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</si>
  <si>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</si>
  <si>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</si>
  <si>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</si>
  <si>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</si>
  <si>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</si>
  <si>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</si>
  <si>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</si>
  <si>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</si>
  <si>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</si>
  <si>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</si>
  <si>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</si>
  <si>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</si>
  <si>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</si>
  <si>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</si>
  <si>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</si>
  <si>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</si>
  <si>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</si>
  <si>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</si>
  <si>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</si>
  <si>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</si>
  <si>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</si>
  <si>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</si>
  <si>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</si>
  <si>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</si>
  <si>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</si>
  <si>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</si>
  <si>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</si>
  <si>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</si>
  <si>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</si>
  <si>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</si>
  <si>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</si>
  <si>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</si>
  <si>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</si>
  <si>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</si>
  <si>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</si>
  <si>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</si>
  <si>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</si>
  <si>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</si>
  <si>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</si>
  <si>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</si>
  <si>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</si>
  <si>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</si>
  <si>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</si>
  <si>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</si>
  <si>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</si>
  <si>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</si>
  <si>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</si>
  <si>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</si>
  <si>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</si>
  <si>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</si>
  <si>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</si>
  <si>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</si>
  <si>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</si>
  <si>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</si>
  <si>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</si>
  <si>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</si>
  <si>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</si>
  <si>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</si>
  <si>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</si>
  <si>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</si>
  <si>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</si>
  <si>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</si>
  <si>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</si>
  <si>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</si>
  <si>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</si>
  <si>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</si>
  <si>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</si>
  <si>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</si>
  <si>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</si>
  <si>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</si>
  <si>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</si>
  <si>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</si>
  <si>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</si>
  <si>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</si>
  <si>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</si>
  <si>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</si>
  <si>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</si>
  <si>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</si>
  <si>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</si>
  <si>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</si>
  <si>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</si>
  <si>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</si>
  <si>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</si>
  <si>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</si>
  <si>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</si>
  <si>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</si>
  <si>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</si>
  <si>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</si>
  <si>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</si>
  <si>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</si>
  <si>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</si>
  <si>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</si>
  <si>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</si>
  <si>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</si>
  <si>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</si>
  <si>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</si>
  <si>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</si>
  <si>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</si>
  <si>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</si>
  <si>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</si>
  <si>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</si>
  <si>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</si>
  <si>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</si>
  <si>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</si>
  <si>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</si>
  <si>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</si>
  <si>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</si>
  <si>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</si>
  <si>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</si>
  <si>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</si>
  <si>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</si>
  <si>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</si>
  <si>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</si>
  <si>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</si>
  <si>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</si>
  <si>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</si>
  <si>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</si>
  <si>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</si>
  <si>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</si>
  <si>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</si>
  <si>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</si>
  <si>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</si>
  <si>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</si>
  <si>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</si>
  <si>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</si>
  <si>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</si>
  <si>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</si>
  <si>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</si>
  <si>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</si>
  <si>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</si>
  <si>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</si>
  <si>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</si>
  <si>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</si>
  <si>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</si>
  <si>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</si>
  <si>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</si>
  <si>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</si>
  <si>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</si>
  <si>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</si>
  <si>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</si>
  <si>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</si>
  <si>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</si>
  <si>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</si>
  <si>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</si>
  <si>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</si>
  <si>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</si>
  <si>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</si>
  <si>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</si>
  <si>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</si>
  <si>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</si>
  <si>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</si>
  <si>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</si>
  <si>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</si>
  <si>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</si>
  <si>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</si>
  <si>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</si>
  <si>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</si>
  <si>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</si>
  <si>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</si>
  <si>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</si>
  <si>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</si>
  <si>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</si>
  <si>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</si>
  <si>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</si>
  <si>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</si>
  <si>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</si>
  <si>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</si>
  <si>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</si>
  <si>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</si>
  <si>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</si>
  <si>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</si>
  <si>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</si>
  <si>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</si>
  <si>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</si>
  <si>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</si>
  <si>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</si>
  <si>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</si>
  <si>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</si>
  <si>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</si>
  <si>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</si>
  <si>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</si>
  <si>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</si>
  <si>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</si>
  <si>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</si>
  <si>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</si>
  <si>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</si>
  <si>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</si>
  <si>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</si>
  <si>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</si>
  <si>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</si>
  <si>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</si>
  <si>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</si>
  <si>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</si>
  <si>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</si>
  <si>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</si>
  <si>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</si>
  <si>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</si>
  <si>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</si>
  <si>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</si>
  <si>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</si>
  <si>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</si>
  <si>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</si>
  <si>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</si>
  <si>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</si>
  <si>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</si>
  <si>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</si>
  <si>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</si>
  <si>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</si>
  <si>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</si>
  <si>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</si>
  <si>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</si>
  <si>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</si>
  <si>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</si>
  <si>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</si>
  <si>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</si>
  <si>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</si>
  <si>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</si>
  <si>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</si>
  <si>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</si>
  <si>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</si>
  <si>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</si>
  <si>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</si>
  <si>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</si>
  <si>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</si>
  <si>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</si>
  <si>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</si>
  <si>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</si>
  <si>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</si>
  <si>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</si>
  <si>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</si>
  <si>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</si>
  <si>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</si>
  <si>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</si>
  <si>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</si>
  <si>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</si>
  <si>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</si>
  <si>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</si>
  <si>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</si>
  <si>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</si>
  <si>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</si>
  <si>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</si>
  <si>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</si>
  <si>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</si>
  <si>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</si>
  <si>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</si>
  <si>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</si>
  <si>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</si>
  <si>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</si>
  <si>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</si>
  <si>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</si>
  <si>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</si>
  <si>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</si>
  <si>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</si>
  <si>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</si>
  <si>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</si>
  <si>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</si>
  <si>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</si>
  <si>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</si>
  <si>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</si>
  <si>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</si>
  <si>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</si>
  <si>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</si>
  <si>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</si>
  <si>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</si>
  <si>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</si>
  <si>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</si>
  <si>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</si>
  <si>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</si>
  <si>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</si>
  <si>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</si>
  <si>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</si>
  <si>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</si>
  <si>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</si>
  <si>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</si>
  <si>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</si>
  <si>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</si>
  <si>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</si>
  <si>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</si>
  <si>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</si>
  <si>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</si>
  <si>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</si>
  <si>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</si>
  <si>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</si>
  <si>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</si>
  <si>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</si>
  <si>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</si>
  <si>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</si>
  <si>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</si>
  <si>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</si>
  <si>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</si>
  <si>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</si>
  <si>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</si>
  <si>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</si>
  <si>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</si>
  <si>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</si>
  <si>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</si>
  <si>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</si>
  <si>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</si>
  <si>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</si>
  <si>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</si>
  <si>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</si>
  <si>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</si>
  <si>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</si>
  <si>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</si>
  <si>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</si>
  <si>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</si>
  <si>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</si>
  <si>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</si>
  <si>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</si>
  <si>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</si>
  <si>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</si>
  <si>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</si>
  <si>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</si>
  <si>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</si>
  <si>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</si>
  <si>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</si>
  <si>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</si>
  <si>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</si>
  <si>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</si>
  <si>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</si>
  <si>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</si>
  <si>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</si>
  <si>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</si>
  <si>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</si>
  <si>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</si>
  <si>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</si>
  <si>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</si>
  <si>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</si>
  <si>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</si>
  <si>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</si>
  <si>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</si>
  <si>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</si>
  <si>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</si>
  <si>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</si>
  <si>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</si>
  <si>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</si>
  <si>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</si>
  <si>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</si>
  <si>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</si>
  <si>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</si>
  <si>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</si>
  <si>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</si>
  <si>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</si>
  <si>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</si>
  <si>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</si>
  <si>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</si>
  <si>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</si>
  <si>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</si>
  <si>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</si>
  <si>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</si>
  <si>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</si>
  <si>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</si>
  <si>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</si>
  <si>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</si>
  <si>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</si>
  <si>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</si>
  <si>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</si>
  <si>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</si>
  <si>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</si>
  <si>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</si>
  <si>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</si>
  <si>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</si>
  <si>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</si>
  <si>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</si>
  <si>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</si>
  <si>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</si>
  <si>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</si>
  <si>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</si>
  <si>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</si>
  <si>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</si>
  <si>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</si>
  <si>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</si>
  <si>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</si>
  <si>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</si>
  <si>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</si>
  <si>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</si>
  <si>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</si>
  <si>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</si>
  <si>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</si>
  <si>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</si>
  <si>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</si>
  <si>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</si>
  <si>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</si>
  <si>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</si>
  <si>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</si>
  <si>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</si>
  <si>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</si>
  <si>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</si>
  <si>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</si>
  <si>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</si>
  <si>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</si>
  <si>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</si>
  <si>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</si>
  <si>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</si>
  <si>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</si>
  <si>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</si>
  <si>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</si>
  <si>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</si>
  <si>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</si>
  <si>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</si>
  <si>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</si>
  <si>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</si>
  <si>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</si>
  <si>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</si>
  <si>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</si>
  <si>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</si>
  <si>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</si>
  <si>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</si>
  <si>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</si>
  <si>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</si>
  <si>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</si>
  <si>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</si>
  <si>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</si>
  <si>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</si>
  <si>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</si>
  <si>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</si>
  <si>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</si>
  <si>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</si>
  <si>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</si>
  <si>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</si>
  <si>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</si>
  <si>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</si>
  <si>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</si>
  <si>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</si>
  <si>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</si>
  <si>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</si>
  <si>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</si>
  <si>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</si>
  <si>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</si>
  <si>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</si>
  <si>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</si>
  <si>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</si>
  <si>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</si>
  <si>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</si>
  <si>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</si>
  <si>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</si>
  <si>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</si>
  <si>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</si>
  <si>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</si>
  <si>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</si>
  <si>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</si>
  <si>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</si>
  <si>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</si>
  <si>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</si>
  <si>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</si>
  <si>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</si>
  <si>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</si>
  <si>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</si>
  <si>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</si>
  <si>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</si>
  <si>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</si>
  <si>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</si>
  <si>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</si>
  <si>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</si>
  <si>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</si>
  <si>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</si>
  <si>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</si>
  <si>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</si>
  <si>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</si>
  <si>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</si>
  <si>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</si>
  <si>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</si>
  <si>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</si>
  <si>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</si>
  <si>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</si>
  <si>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</si>
  <si>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</si>
  <si>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</si>
  <si>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</si>
  <si>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</si>
  <si>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</si>
  <si>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</si>
  <si>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</si>
  <si>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</si>
  <si>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</si>
  <si>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</si>
  <si>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</si>
  <si>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</si>
  <si>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</si>
  <si>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</si>
  <si>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</si>
  <si>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</si>
  <si>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</si>
  <si>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</si>
  <si>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</si>
  <si>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</si>
  <si>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</si>
  <si>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</si>
  <si>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</si>
  <si>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</si>
  <si>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</si>
  <si>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</si>
  <si>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</si>
  <si>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</si>
  <si>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</si>
  <si>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</si>
  <si>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</si>
  <si>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</si>
  <si>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</si>
  <si>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</si>
  <si>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</si>
  <si>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</si>
  <si>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</si>
  <si>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</si>
  <si>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</si>
  <si>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</si>
  <si>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</si>
  <si>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</si>
  <si>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</si>
  <si>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</si>
  <si>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</si>
  <si>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</si>
  <si>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</si>
  <si>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</si>
  <si>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</si>
  <si>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</si>
  <si>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</si>
  <si>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</si>
  <si>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</si>
  <si>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</si>
  <si>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</si>
  <si>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</si>
  <si>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</si>
  <si>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</si>
  <si>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</si>
  <si>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</si>
  <si>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</si>
  <si>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</si>
  <si>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</si>
  <si>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</si>
  <si>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</si>
  <si>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</si>
  <si>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</si>
  <si>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</si>
  <si>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</si>
  <si>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</si>
  <si>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</si>
  <si>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</si>
  <si>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</si>
  <si>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</si>
  <si>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</si>
  <si>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</si>
  <si>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</si>
  <si>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</si>
  <si>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</si>
  <si>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</si>
  <si>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</si>
  <si>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</si>
  <si>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</si>
  <si>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</si>
  <si>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</si>
  <si>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</si>
  <si>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</si>
  <si>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</si>
  <si>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</si>
  <si>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</si>
  <si>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</si>
  <si>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</si>
  <si>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</si>
  <si>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</si>
  <si>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</si>
  <si>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</si>
  <si>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</si>
  <si>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</si>
  <si>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</si>
  <si>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</si>
  <si>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</si>
  <si>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</si>
  <si>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</si>
  <si>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</si>
  <si>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</si>
  <si>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</si>
  <si>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</si>
  <si>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</si>
  <si>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</si>
  <si>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</si>
  <si>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</si>
  <si>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</si>
  <si>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</si>
  <si>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</si>
  <si>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</si>
  <si>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</si>
  <si>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</si>
  <si>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</si>
  <si>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</si>
  <si>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</si>
  <si>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</si>
  <si>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</si>
  <si>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</si>
  <si>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</si>
  <si>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</si>
  <si>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</si>
  <si>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</si>
  <si>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</si>
  <si>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</si>
  <si>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</si>
  <si>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</si>
  <si>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</si>
  <si>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</si>
  <si>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</si>
  <si>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</si>
  <si>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</si>
  <si>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</si>
  <si>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</si>
  <si>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</si>
  <si>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</si>
  <si>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</si>
  <si>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</si>
  <si>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</si>
  <si>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</si>
  <si>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</si>
  <si>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</si>
  <si>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</si>
  <si>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</si>
  <si>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</si>
  <si>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</si>
  <si>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</si>
  <si>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</si>
  <si>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</si>
  <si>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</si>
  <si>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</si>
  <si>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</si>
  <si>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</si>
  <si>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</si>
  <si>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</si>
  <si>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</si>
  <si>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</si>
  <si>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</si>
  <si>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</si>
  <si>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</si>
  <si>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</si>
  <si>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</si>
  <si>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</si>
  <si>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</si>
  <si>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</si>
  <si>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</si>
  <si>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</si>
  <si>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</si>
  <si>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</si>
  <si>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</si>
  <si>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</si>
  <si>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</si>
  <si>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</si>
  <si>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</si>
  <si>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</si>
  <si>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</si>
  <si>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</si>
  <si>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</si>
  <si>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</si>
  <si>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</si>
  <si>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</si>
  <si>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</si>
  <si>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</si>
  <si>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</si>
  <si>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</si>
  <si>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</si>
  <si>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</si>
  <si>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</si>
  <si>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</si>
  <si>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</si>
  <si>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</si>
  <si>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</si>
  <si>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</si>
  <si>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</si>
  <si>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</si>
  <si>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</si>
  <si>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</si>
  <si>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</si>
  <si>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</si>
  <si>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</si>
  <si>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</si>
  <si>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</si>
  <si>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</si>
  <si>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</si>
  <si>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</si>
  <si>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</si>
  <si>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</si>
  <si>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</si>
  <si>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</si>
  <si>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</si>
  <si>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</si>
  <si>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</si>
  <si>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</si>
  <si>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</si>
  <si>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</si>
  <si>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</si>
  <si>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</si>
  <si>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</si>
  <si>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</si>
  <si>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</si>
  <si>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</si>
  <si>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</si>
  <si>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</si>
  <si>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</si>
  <si>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</si>
  <si>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</si>
  <si>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</si>
  <si>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</si>
  <si>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</si>
  <si>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</si>
  <si>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</si>
  <si>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</si>
  <si>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</si>
  <si>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</si>
  <si>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</si>
  <si>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</si>
  <si>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</si>
  <si>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</si>
  <si>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</si>
  <si>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</si>
  <si>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</si>
  <si>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</si>
  <si>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</si>
  <si>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</si>
  <si>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</si>
  <si>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</si>
  <si>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</si>
  <si>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</si>
  <si>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</si>
  <si>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</si>
  <si>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</si>
  <si>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</si>
  <si>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</si>
  <si>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</si>
  <si>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</si>
  <si>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</si>
  <si>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</si>
  <si>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</si>
  <si>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</si>
  <si>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</si>
  <si>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</si>
  <si>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</si>
  <si>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</si>
  <si>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</si>
  <si>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</si>
  <si>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</si>
  <si>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</si>
  <si>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</si>
  <si>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</si>
  <si>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</si>
  <si>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</si>
  <si>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</si>
  <si>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</si>
  <si>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</si>
  <si>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</si>
  <si>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</si>
  <si>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</si>
  <si>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</si>
  <si>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</si>
  <si>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</si>
  <si>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</si>
  <si>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</si>
  <si>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</si>
  <si>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</si>
  <si>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</si>
  <si>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</si>
  <si>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</si>
  <si>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</si>
  <si>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</si>
  <si>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</si>
  <si>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</si>
  <si>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</si>
  <si>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</si>
  <si>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</si>
  <si>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</si>
  <si>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</si>
  <si>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</si>
  <si>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</si>
  <si>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</si>
  <si>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</si>
  <si>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</si>
  <si>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</si>
  <si>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</si>
  <si>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</si>
  <si>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</si>
  <si>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</si>
  <si>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</si>
  <si>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</si>
  <si>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</si>
  <si>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</si>
  <si>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</si>
  <si>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</si>
  <si>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</si>
  <si>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</si>
  <si>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</si>
  <si>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</si>
  <si>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</si>
  <si>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</si>
  <si>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</si>
  <si>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</si>
  <si>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</si>
  <si>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</si>
  <si>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</si>
  <si>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</si>
  <si>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</si>
  <si>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</si>
  <si>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</si>
  <si>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</si>
  <si>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</si>
  <si>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</si>
  <si>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</si>
  <si>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</si>
  <si>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</si>
  <si>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</si>
  <si>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</si>
  <si>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</si>
  <si>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</si>
  <si>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</si>
  <si>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</si>
  <si>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</si>
  <si>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</si>
  <si>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</si>
  <si>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</si>
  <si>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</si>
  <si>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</si>
  <si>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</si>
  <si>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</si>
  <si>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</si>
  <si>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</si>
  <si>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</si>
  <si>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</si>
  <si>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</si>
  <si>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</si>
  <si>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</si>
  <si>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</si>
  <si>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</si>
  <si>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</si>
  <si>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</si>
  <si>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</si>
  <si>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</si>
  <si>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</si>
  <si>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</si>
  <si>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</si>
  <si>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</si>
  <si>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</si>
  <si>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</si>
  <si>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</si>
  <si>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</si>
  <si>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</si>
  <si>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</si>
  <si>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</si>
  <si>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</si>
  <si>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</si>
  <si>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</si>
  <si>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</si>
  <si>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</si>
  <si>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</si>
  <si>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</si>
  <si>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</si>
  <si>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</si>
  <si>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</si>
  <si>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</si>
  <si>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</si>
  <si>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</si>
  <si>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</si>
  <si>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</si>
  <si>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</si>
  <si>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</si>
  <si>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</si>
  <si>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</si>
  <si>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</si>
  <si>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</si>
  <si>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</si>
  <si>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</si>
  <si>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</si>
  <si>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</si>
  <si>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</si>
  <si>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</si>
  <si>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</si>
  <si>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</si>
  <si>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</si>
  <si>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</si>
  <si>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</si>
  <si>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</si>
  <si>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</si>
  <si>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</si>
  <si>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</si>
  <si>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</si>
  <si>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</si>
  <si>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</si>
  <si>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</si>
  <si>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</si>
  <si>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</si>
  <si>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</si>
  <si>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</si>
  <si>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</si>
  <si>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</si>
  <si>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</si>
  <si>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</si>
  <si>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</si>
  <si>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</si>
  <si>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</si>
  <si>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</si>
  <si>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</si>
  <si>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</si>
  <si>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</si>
  <si>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</si>
  <si>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</si>
  <si>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</si>
  <si>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</si>
  <si>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</si>
  <si>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</si>
  <si>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</si>
  <si>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</si>
  <si>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</si>
  <si>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</si>
  <si>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</si>
  <si>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</si>
  <si>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</si>
  <si>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</si>
  <si>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</si>
  <si>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</si>
  <si>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</si>
  <si>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</si>
  <si>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</si>
  <si>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</si>
  <si>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</si>
  <si>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</si>
  <si>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</si>
  <si>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</si>
  <si>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</si>
  <si>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</si>
  <si>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</si>
  <si>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</si>
  <si>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</si>
  <si>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</si>
  <si>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</si>
  <si>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</si>
  <si>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</si>
  <si>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</si>
  <si>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</si>
  <si>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</si>
  <si>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</si>
  <si>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</si>
  <si>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</si>
  <si>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</si>
  <si>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</si>
  <si>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</si>
  <si>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</si>
  <si>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</si>
  <si>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</si>
  <si>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</si>
  <si>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</si>
  <si>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</si>
  <si>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</si>
  <si>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</si>
  <si>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</si>
  <si>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</si>
  <si>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</si>
  <si>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</si>
  <si>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</si>
  <si>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</si>
  <si>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</si>
  <si>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</si>
  <si>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</si>
  <si>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</si>
  <si>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</si>
  <si>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</si>
  <si>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</si>
  <si>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</si>
  <si>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</si>
  <si>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</si>
  <si>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</si>
  <si>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</si>
  <si>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</si>
  <si>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</si>
  <si>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</si>
  <si>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</si>
  <si>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</si>
  <si>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</si>
  <si>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</si>
  <si>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</si>
  <si>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</si>
  <si>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</si>
  <si>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</si>
  <si>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</si>
  <si>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</si>
  <si>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</si>
  <si>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</si>
  <si>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</si>
  <si>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</si>
  <si>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</si>
  <si>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</si>
  <si>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</si>
  <si>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</si>
  <si>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</si>
  <si>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</si>
  <si>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</si>
  <si>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</si>
  <si>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</si>
  <si>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</si>
  <si>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</si>
  <si>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</si>
  <si>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</si>
  <si>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</si>
  <si>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</si>
  <si>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</si>
  <si>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</si>
  <si>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</si>
  <si>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</si>
  <si>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</si>
  <si>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</si>
  <si>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</si>
  <si>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</si>
  <si>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</si>
  <si>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</si>
  <si>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</si>
  <si>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</si>
  <si>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</si>
  <si>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</si>
  <si>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</si>
  <si>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</si>
  <si>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</si>
  <si>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</si>
  <si>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</si>
  <si>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</si>
  <si>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</si>
  <si>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</si>
  <si>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</si>
  <si>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</si>
  <si>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</si>
  <si>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</si>
  <si>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</si>
  <si>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</si>
  <si>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</si>
  <si>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</si>
  <si>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</si>
  <si>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</si>
  <si>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</si>
  <si>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</si>
  <si>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</si>
  <si>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</si>
  <si>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</si>
  <si>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</si>
  <si>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</si>
  <si>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</si>
  <si>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</si>
  <si>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</si>
  <si>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</si>
  <si>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</si>
  <si>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</si>
  <si>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</si>
  <si>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</si>
  <si>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</si>
  <si>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</si>
  <si>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</si>
  <si>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</si>
  <si>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</si>
  <si>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</si>
  <si>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</si>
  <si>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</si>
  <si>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</si>
  <si>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</si>
  <si>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</si>
  <si>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</si>
  <si>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</si>
  <si>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</si>
  <si>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</si>
  <si>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</si>
  <si>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</si>
  <si>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</si>
  <si>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</si>
  <si>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</si>
  <si>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</si>
  <si>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</si>
  <si>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</si>
  <si>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</si>
  <si>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</si>
  <si>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</si>
  <si>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</si>
  <si>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</si>
  <si>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</si>
  <si>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</si>
  <si>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</si>
  <si>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</si>
  <si>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</si>
  <si>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</si>
  <si>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</si>
  <si>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</si>
  <si>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</si>
  <si>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</si>
  <si>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</si>
  <si>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</si>
  <si>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</si>
  <si>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</si>
  <si>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</si>
  <si>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</si>
  <si>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</si>
  <si>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</si>
  <si>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</si>
  <si>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</si>
  <si>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</si>
  <si>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</si>
  <si>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</si>
  <si>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</si>
  <si>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</si>
  <si>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</si>
  <si>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</si>
  <si>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</si>
  <si>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</si>
  <si>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</si>
  <si>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</si>
  <si>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</si>
  <si>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</si>
  <si>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</si>
  <si>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</si>
  <si>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</si>
  <si>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</si>
  <si>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</si>
  <si>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</si>
  <si>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</si>
  <si>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</si>
  <si>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</si>
  <si>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</si>
  <si>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</si>
  <si>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</si>
  <si>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</si>
  <si>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</si>
  <si>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</si>
  <si>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</si>
  <si>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</si>
  <si>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</si>
  <si>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</si>
  <si>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</si>
  <si>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</si>
  <si>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</si>
  <si>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</si>
  <si>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</si>
  <si>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</si>
  <si>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</si>
  <si>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</si>
  <si>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</si>
  <si>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</si>
  <si>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</si>
  <si>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</si>
  <si>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</si>
  <si>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</si>
  <si>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</si>
  <si>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</si>
  <si>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</si>
  <si>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</si>
  <si>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</si>
  <si>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</si>
  <si>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</si>
  <si>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</si>
  <si>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</si>
  <si>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</si>
  <si>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</si>
  <si>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</si>
  <si>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</si>
  <si>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</si>
  <si>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</si>
  <si>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</si>
  <si>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</si>
  <si>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</si>
  <si>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</si>
  <si>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</si>
  <si>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</si>
  <si>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</si>
  <si>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</si>
  <si>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</si>
  <si>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</si>
  <si>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</si>
  <si>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</si>
  <si>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</si>
  <si>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</si>
  <si>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</si>
  <si>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</si>
  <si>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</si>
  <si>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</si>
  <si>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</si>
  <si>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</si>
  <si>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</si>
  <si>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</si>
  <si>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</si>
  <si>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</si>
  <si>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</si>
  <si>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</si>
  <si>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</si>
  <si>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</si>
  <si>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</si>
  <si>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</si>
  <si>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</si>
  <si>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</si>
  <si>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</si>
  <si>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</si>
  <si>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</si>
  <si>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</si>
  <si>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</si>
  <si>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</si>
  <si>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</si>
  <si>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</si>
  <si>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</si>
  <si>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</si>
  <si>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</si>
  <si>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</si>
  <si>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</si>
  <si>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</si>
  <si>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</si>
  <si>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</si>
  <si>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</si>
  <si>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</si>
  <si>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</si>
  <si>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</si>
  <si>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</si>
  <si>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</si>
  <si>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</si>
  <si>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</si>
  <si>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</si>
  <si>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</si>
  <si>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</si>
  <si>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</si>
  <si>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</si>
  <si>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</si>
  <si>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</si>
  <si>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</si>
  <si>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</si>
  <si>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</si>
  <si>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</si>
  <si>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</si>
  <si>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</si>
  <si>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</si>
  <si>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</si>
  <si>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</si>
  <si>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</si>
  <si>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</si>
  <si>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</si>
  <si>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</si>
  <si>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</si>
  <si>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</si>
  <si>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</si>
  <si>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</si>
  <si>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</si>
  <si>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</si>
  <si>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</si>
  <si>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</si>
  <si>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</si>
  <si>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</si>
  <si>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</si>
  <si>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</si>
  <si>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</si>
  <si>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</si>
  <si>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</si>
  <si>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</si>
  <si>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</si>
  <si>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</si>
  <si>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</si>
  <si>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</si>
  <si>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</si>
  <si>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</si>
  <si>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</si>
  <si>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</si>
  <si>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</si>
  <si>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</si>
  <si>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</si>
  <si>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</si>
  <si>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</si>
  <si>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</si>
  <si>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</si>
  <si>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</si>
  <si>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</si>
  <si>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</si>
  <si>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</si>
  <si>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</si>
  <si>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</si>
  <si>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</si>
  <si>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</si>
  <si>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</si>
  <si>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</si>
  <si>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</si>
  <si>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</si>
  <si>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</si>
  <si>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</si>
  <si>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</si>
  <si>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</si>
  <si>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</si>
  <si>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</si>
  <si>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</si>
  <si>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</si>
  <si>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</si>
  <si>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</si>
  <si>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</si>
  <si>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</si>
  <si>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</si>
  <si>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</si>
  <si>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</si>
  <si>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</si>
  <si>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</si>
  <si>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</si>
  <si>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</si>
  <si>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</si>
  <si>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</si>
  <si>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</si>
  <si>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</si>
  <si>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</si>
  <si>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</si>
  <si>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</si>
  <si>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</si>
  <si>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</si>
  <si>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</si>
  <si>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</si>
  <si>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</si>
  <si>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</si>
  <si>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</si>
  <si>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</si>
  <si>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</si>
  <si>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</si>
  <si>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</si>
  <si>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</si>
  <si>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</si>
  <si>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</si>
  <si>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</si>
  <si>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</si>
  <si>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</si>
  <si>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</si>
  <si>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</si>
  <si>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</si>
  <si>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</si>
  <si>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</si>
  <si>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</si>
  <si>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</si>
  <si>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</si>
  <si>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</si>
  <si>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</si>
  <si>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</si>
  <si>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</si>
  <si>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</si>
  <si>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</si>
  <si>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</si>
  <si>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</si>
  <si>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</si>
  <si>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</si>
  <si>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</si>
  <si>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</si>
  <si>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</si>
  <si>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</si>
  <si>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</si>
  <si>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</si>
  <si>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</si>
  <si>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</si>
  <si>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</si>
  <si>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</si>
  <si>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</si>
  <si>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</si>
  <si>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</si>
  <si>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</si>
  <si>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</si>
  <si>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</si>
  <si>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</si>
  <si>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</si>
  <si>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</si>
  <si>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</si>
  <si>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</si>
  <si>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</si>
  <si>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</si>
  <si>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</si>
  <si>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</si>
  <si>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</si>
  <si>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</si>
  <si>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</si>
  <si>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</si>
  <si>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</si>
  <si>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</si>
  <si>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</si>
  <si>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</si>
  <si>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</si>
  <si>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</si>
  <si>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</si>
  <si>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</si>
  <si>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</si>
  <si>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</si>
  <si>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</si>
  <si>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</si>
  <si>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</si>
  <si>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</si>
  <si>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</si>
  <si>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</si>
  <si>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</si>
  <si>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</si>
  <si>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</si>
  <si>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</si>
  <si>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</si>
  <si>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</si>
  <si>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</si>
  <si>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</si>
  <si>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</si>
  <si>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</si>
  <si>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</si>
  <si>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</si>
  <si>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</si>
  <si>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</si>
  <si>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</si>
  <si>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</si>
  <si>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</si>
  <si>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</si>
  <si>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</si>
  <si>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</si>
  <si>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</si>
  <si>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</si>
  <si>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</si>
  <si>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</si>
  <si>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</si>
  <si>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</si>
  <si>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</si>
  <si>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</si>
  <si>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</si>
  <si>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</si>
  <si>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</si>
  <si>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</si>
  <si>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</si>
  <si>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</si>
  <si>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</si>
  <si>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</si>
  <si>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</si>
  <si>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</si>
  <si>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</si>
  <si>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</si>
  <si>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</si>
  <si>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</si>
  <si>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</si>
  <si>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</si>
  <si>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</si>
  <si>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</si>
  <si>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</si>
  <si>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</si>
  <si>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</si>
  <si>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</si>
  <si>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</si>
  <si>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</si>
  <si>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</si>
  <si>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</si>
  <si>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</si>
  <si>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</si>
  <si>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</si>
  <si>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</si>
  <si>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</si>
  <si>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</si>
  <si>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</si>
  <si>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</si>
  <si>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</si>
  <si>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</si>
  <si>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</si>
  <si>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</si>
  <si>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</si>
  <si>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</si>
  <si>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</si>
  <si>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</si>
  <si>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</si>
  <si>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</si>
  <si>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</si>
  <si>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</si>
  <si>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</si>
  <si>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</si>
  <si>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</si>
  <si>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</si>
  <si>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</si>
  <si>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</si>
  <si>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</si>
  <si>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</si>
  <si>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</si>
  <si>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</si>
  <si>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</si>
  <si>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</si>
  <si>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</si>
  <si>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</si>
  <si>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</si>
  <si>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</si>
  <si>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</si>
  <si>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</si>
  <si>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</si>
  <si>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</si>
  <si>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</si>
  <si>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</si>
  <si>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</si>
  <si>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</si>
  <si>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</si>
  <si>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</si>
  <si>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</si>
  <si>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</si>
  <si>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</si>
  <si>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</si>
  <si>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</si>
  <si>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</si>
  <si>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</si>
  <si>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</si>
  <si>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</si>
  <si>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</si>
  <si>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</si>
  <si>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</si>
  <si>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</si>
  <si>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</si>
  <si>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</si>
  <si>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</si>
  <si>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</si>
  <si>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</si>
  <si>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</si>
  <si>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</si>
  <si>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</si>
  <si>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</si>
  <si>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</si>
  <si>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</si>
  <si>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</si>
  <si>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</si>
  <si>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</si>
  <si>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</si>
  <si>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</si>
  <si>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</si>
  <si>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</si>
  <si>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</si>
  <si>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</si>
  <si>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</si>
  <si>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</si>
  <si>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</si>
  <si>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</si>
  <si>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</si>
  <si>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</si>
  <si>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</si>
  <si>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</si>
  <si>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</si>
  <si>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</si>
  <si>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</si>
  <si>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</si>
  <si>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</si>
  <si>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</si>
  <si>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</si>
  <si>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</si>
  <si>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</si>
  <si>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</si>
  <si>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</si>
  <si>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</si>
  <si>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</si>
  <si>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</si>
  <si>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</si>
  <si>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</si>
  <si>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</si>
  <si>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</si>
  <si>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</si>
  <si>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</si>
  <si>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</si>
  <si>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</si>
  <si>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</si>
  <si>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</si>
  <si>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</si>
  <si>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</si>
  <si>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</si>
  <si>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</si>
  <si>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</si>
  <si>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</si>
  <si>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</si>
  <si>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</si>
  <si>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</si>
  <si>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</si>
  <si>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</si>
  <si>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</si>
  <si>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</si>
  <si>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</si>
  <si>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</si>
  <si>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</si>
  <si>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</si>
  <si>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</si>
  <si>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</si>
  <si>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</si>
  <si>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</si>
  <si>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</si>
  <si>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</si>
  <si>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</si>
  <si>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</si>
  <si>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</si>
  <si>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</si>
  <si>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</si>
  <si>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</si>
  <si>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</si>
  <si>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</si>
  <si>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</si>
  <si>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</si>
  <si>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</si>
  <si>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</si>
  <si>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</si>
  <si>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</si>
  <si>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</si>
  <si>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</si>
  <si>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</si>
  <si>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</si>
  <si>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</si>
  <si>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</si>
  <si>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</si>
  <si>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</si>
  <si>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</si>
  <si>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</si>
  <si>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</si>
  <si>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</si>
  <si>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</si>
  <si>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</si>
  <si>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</si>
  <si>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</si>
  <si>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</si>
  <si>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</si>
  <si>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</si>
  <si>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</si>
  <si>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</si>
  <si>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</si>
  <si>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</si>
  <si>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</si>
  <si>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</si>
  <si>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</si>
  <si>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</si>
  <si>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</si>
  <si>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</si>
  <si>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</si>
  <si>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</si>
  <si>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</si>
  <si>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</si>
  <si>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</si>
  <si>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</si>
  <si>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</si>
  <si>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</si>
  <si>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</si>
  <si>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</si>
  <si>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</si>
  <si>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</si>
  <si>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</si>
  <si>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</si>
  <si>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</si>
  <si>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</si>
  <si>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</si>
  <si>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</si>
  <si>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</si>
  <si>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</si>
  <si>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</si>
  <si>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</si>
  <si>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</si>
  <si>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</si>
  <si>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</si>
  <si>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</si>
  <si>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</si>
  <si>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</si>
  <si>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</si>
  <si>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</si>
  <si>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</si>
  <si>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</si>
  <si>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</si>
  <si>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</si>
  <si>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</si>
  <si>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</si>
  <si>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</si>
  <si>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</si>
  <si>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</si>
  <si>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</si>
  <si>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</si>
  <si>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</si>
  <si>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</si>
  <si>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</si>
  <si>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</si>
  <si>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</si>
  <si>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</si>
  <si>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</si>
  <si>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</si>
  <si>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</si>
  <si>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</si>
  <si>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</si>
  <si>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</si>
  <si>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</si>
  <si>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</si>
  <si>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</si>
  <si>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</si>
  <si>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</si>
  <si>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</si>
  <si>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</si>
  <si>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</si>
  <si>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</si>
  <si>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</si>
  <si>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</si>
  <si>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</si>
  <si>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</si>
  <si>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</si>
  <si>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</si>
  <si>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</si>
  <si>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</si>
  <si>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</si>
  <si>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</si>
  <si>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</si>
  <si>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</si>
  <si>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</si>
  <si>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</si>
  <si>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</si>
  <si>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</si>
  <si>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</si>
  <si>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</si>
  <si>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</si>
  <si>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</si>
  <si>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</si>
  <si>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</si>
  <si>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</si>
  <si>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</si>
  <si>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</si>
  <si>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</si>
  <si>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</si>
  <si>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</si>
  <si>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</si>
  <si>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</si>
  <si>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</si>
  <si>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</si>
  <si>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</si>
  <si>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</si>
  <si>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</si>
  <si>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</si>
  <si>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</si>
  <si>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</si>
  <si>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</si>
  <si>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</si>
  <si>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</si>
  <si>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</si>
  <si>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</si>
  <si>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</si>
  <si>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</si>
  <si>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</si>
  <si>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</si>
  <si>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</si>
  <si>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</si>
  <si>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</si>
  <si>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</si>
  <si>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</si>
  <si>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</si>
  <si>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</si>
  <si>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</si>
  <si>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</si>
  <si>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</si>
  <si>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</si>
  <si>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</si>
  <si>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</si>
  <si>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</si>
  <si>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</si>
  <si>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</si>
  <si>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</si>
  <si>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</si>
  <si>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</si>
  <si>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</si>
  <si>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</si>
  <si>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</si>
  <si>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</si>
  <si>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</si>
  <si>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</si>
  <si>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</si>
  <si>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</si>
  <si>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</si>
  <si>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</si>
  <si>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</si>
  <si>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</si>
  <si>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</si>
  <si>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</si>
  <si>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</si>
  <si>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</si>
  <si>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</si>
  <si>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</si>
  <si>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</si>
  <si>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</si>
  <si>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</si>
  <si>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</si>
  <si>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</si>
  <si>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</si>
  <si>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</si>
  <si>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</si>
  <si>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</si>
  <si>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</si>
  <si>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</si>
  <si>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</si>
  <si>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</si>
  <si>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</si>
  <si>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</si>
  <si>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</si>
  <si>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</si>
  <si>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</si>
  <si>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</si>
  <si>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</si>
  <si>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</si>
  <si>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</si>
  <si>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</si>
  <si>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</si>
  <si>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</si>
  <si>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</si>
  <si>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</si>
  <si>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</si>
  <si>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</si>
  <si>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</si>
  <si>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</si>
  <si>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</si>
  <si>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</si>
  <si>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</si>
  <si>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</si>
  <si>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</si>
  <si>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</si>
  <si>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</si>
  <si>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</si>
  <si>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</si>
  <si>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</si>
  <si>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</si>
  <si>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</si>
  <si>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</si>
  <si>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</si>
  <si>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</si>
  <si>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</si>
  <si>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</si>
  <si>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</si>
  <si>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</si>
  <si>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</si>
  <si>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</si>
  <si>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</si>
  <si>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</si>
  <si>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</si>
  <si>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</si>
  <si>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</si>
  <si>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</si>
  <si>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</si>
  <si>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</si>
  <si>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</si>
  <si>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</si>
  <si>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</si>
  <si>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</si>
  <si>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</si>
  <si>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</si>
  <si>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</si>
  <si>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</si>
  <si>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</si>
  <si>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</si>
  <si>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</si>
  <si>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</si>
  <si>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</si>
  <si>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</si>
  <si>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</si>
  <si>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</si>
  <si>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</si>
  <si>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</si>
  <si>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</si>
  <si>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</si>
  <si>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</si>
  <si>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</si>
  <si>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</si>
  <si>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</si>
  <si>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</si>
  <si>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</si>
  <si>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</si>
  <si>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</si>
  <si>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</si>
  <si>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</si>
  <si>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</si>
  <si>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</si>
  <si>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</si>
  <si>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</si>
  <si>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</si>
  <si>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</si>
  <si>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</si>
  <si>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</si>
  <si>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</si>
  <si>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</si>
  <si>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</si>
  <si>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</si>
  <si>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</si>
  <si>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</si>
  <si>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</si>
  <si>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</si>
  <si>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</si>
  <si>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</si>
  <si>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</si>
  <si>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</si>
  <si>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</si>
  <si>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</si>
  <si>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</si>
  <si>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</si>
  <si>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</si>
  <si>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</si>
  <si>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</si>
  <si>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</si>
  <si>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</si>
  <si>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</si>
  <si>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</si>
  <si>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</si>
  <si>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</si>
  <si>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</si>
  <si>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</si>
  <si>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</si>
  <si>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</si>
  <si>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</si>
  <si>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</si>
  <si>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</si>
  <si>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</si>
  <si>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</si>
  <si>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</si>
  <si>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</si>
  <si>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</si>
  <si>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</si>
  <si>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</si>
  <si>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</si>
  <si>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</si>
  <si>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</si>
  <si>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</si>
  <si>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</si>
  <si>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</si>
  <si>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</si>
  <si>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</si>
  <si>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</si>
  <si>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</si>
  <si>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</si>
  <si>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</si>
  <si>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</si>
  <si>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</si>
  <si>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</si>
  <si>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</si>
  <si>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</si>
  <si>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</si>
  <si>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</si>
  <si>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</si>
  <si>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</si>
  <si>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</si>
  <si>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</si>
  <si>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</si>
  <si>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</si>
  <si>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</si>
  <si>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</si>
  <si>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</si>
  <si>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</si>
  <si>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</si>
  <si>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</si>
  <si>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</si>
  <si>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</si>
  <si>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</si>
  <si>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</si>
  <si>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</si>
  <si>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</si>
  <si>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</si>
  <si>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</si>
  <si>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</si>
  <si>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</si>
  <si>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</si>
  <si>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</si>
  <si>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</si>
  <si>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</si>
  <si>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</si>
  <si>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</si>
  <si>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</si>
  <si>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</si>
  <si>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</si>
  <si>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</si>
  <si>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</si>
  <si>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</si>
  <si>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</si>
  <si>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</si>
  <si>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</si>
  <si>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</si>
  <si>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</si>
  <si>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</si>
  <si>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</si>
  <si>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</si>
  <si>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</si>
  <si>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</si>
  <si>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</si>
  <si>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</si>
  <si>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</si>
  <si>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</si>
  <si>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</si>
  <si>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</si>
  <si>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</si>
  <si>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</si>
  <si>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</si>
  <si>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</si>
  <si>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</si>
  <si>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</si>
  <si>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</si>
  <si>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</si>
  <si>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</si>
  <si>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</si>
  <si>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</si>
  <si>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</si>
  <si>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</si>
  <si>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</si>
  <si>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</si>
  <si>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</si>
  <si>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</si>
  <si>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</si>
  <si>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</si>
  <si>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</si>
  <si>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</si>
  <si>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</si>
  <si>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</si>
  <si>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</si>
  <si>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</si>
  <si>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</si>
  <si>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</si>
  <si>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</si>
  <si>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</si>
  <si>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</si>
  <si>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</si>
  <si>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</si>
  <si>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</si>
  <si>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</si>
  <si>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</si>
  <si>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</si>
  <si>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</si>
  <si>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</si>
  <si>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</si>
  <si>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</si>
  <si>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</si>
  <si>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</si>
  <si>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</si>
  <si>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</si>
  <si>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</si>
  <si>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</si>
  <si>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</si>
  <si>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</si>
  <si>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</si>
  <si>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</si>
  <si>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</si>
  <si>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</si>
  <si>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</si>
  <si>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</si>
  <si>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</si>
  <si>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</si>
  <si>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</si>
  <si>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</si>
  <si>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</si>
  <si>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</si>
  <si>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</si>
  <si>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</si>
  <si>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</si>
  <si>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</si>
  <si>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</si>
  <si>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</si>
  <si>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</si>
  <si>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</si>
  <si>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</si>
  <si>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</si>
  <si>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</si>
  <si>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</si>
  <si>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</si>
  <si>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</si>
  <si>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</si>
  <si>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</si>
  <si>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</si>
  <si>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</si>
  <si>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</si>
  <si>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</si>
  <si>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</si>
  <si>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</si>
  <si>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</si>
  <si>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</si>
  <si>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</si>
  <si>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</si>
  <si>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</si>
  <si>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</si>
  <si>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</si>
  <si>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</si>
  <si>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</si>
  <si>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</si>
  <si>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</si>
  <si>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</si>
  <si>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</si>
  <si>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</si>
  <si>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</si>
  <si>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</si>
  <si>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</si>
  <si>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</si>
  <si>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</si>
  <si>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</si>
  <si>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</si>
  <si>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</si>
  <si>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</si>
  <si>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</si>
  <si>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</si>
  <si>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</si>
  <si>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</si>
  <si>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</si>
  <si>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</si>
  <si>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</si>
  <si>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</si>
  <si>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</si>
  <si>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</si>
  <si>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</si>
  <si>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</si>
  <si>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</si>
  <si>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</si>
  <si>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</si>
  <si>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</si>
  <si>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</si>
  <si>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</si>
  <si>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</si>
  <si>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</si>
  <si>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</si>
  <si>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</si>
  <si>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</si>
  <si>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</si>
  <si>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</si>
  <si>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</si>
  <si>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</si>
  <si>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</si>
  <si>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</si>
  <si>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</si>
  <si>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</si>
  <si>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</si>
  <si>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</si>
  <si>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</si>
  <si>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</si>
  <si>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</si>
  <si>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</si>
  <si>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</si>
  <si>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</si>
  <si>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</si>
  <si>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</si>
  <si>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</si>
  <si>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</si>
  <si>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</si>
  <si>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</si>
  <si>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</si>
  <si>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</si>
  <si>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</si>
  <si>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</si>
  <si>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</si>
  <si>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</si>
  <si>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</si>
  <si>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</si>
  <si>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</si>
  <si>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</si>
  <si>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</si>
  <si>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</si>
  <si>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</si>
  <si>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</si>
  <si>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</si>
  <si>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</si>
  <si>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</si>
  <si>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</si>
  <si>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</si>
  <si>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</si>
  <si>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</si>
  <si>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</si>
  <si>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</si>
  <si>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</si>
  <si>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</si>
  <si>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</si>
  <si>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</si>
  <si>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</si>
  <si>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</si>
  <si>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</si>
  <si>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</si>
  <si>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</si>
  <si>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</si>
  <si>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</si>
  <si>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</si>
  <si>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</si>
  <si>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</si>
  <si>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</si>
  <si>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</si>
  <si>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</si>
  <si>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</si>
  <si>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</si>
  <si>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</si>
  <si>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</si>
  <si>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</si>
  <si>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</si>
  <si>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</si>
  <si>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</si>
  <si>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</si>
  <si>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</si>
  <si>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</si>
  <si>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</si>
  <si>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</si>
  <si>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</si>
  <si>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</si>
  <si>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</si>
  <si>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</si>
  <si>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</si>
  <si>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</si>
  <si>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</si>
  <si>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</si>
  <si>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</si>
  <si>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</si>
  <si>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</si>
  <si>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</si>
  <si>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</si>
  <si>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</si>
  <si>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</si>
  <si>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</si>
  <si>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</si>
  <si>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</si>
  <si>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</si>
  <si>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</si>
  <si>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</si>
  <si>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</si>
  <si>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</si>
  <si>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</si>
  <si>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</si>
  <si>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</si>
  <si>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</si>
  <si>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</si>
  <si>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</si>
  <si>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</si>
  <si>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</si>
  <si>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</si>
  <si>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</si>
  <si>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</si>
  <si>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</si>
  <si>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</si>
  <si>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</si>
  <si>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</si>
  <si>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</si>
  <si>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</si>
  <si>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</si>
  <si>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</si>
  <si>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</si>
  <si>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</si>
  <si>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</si>
  <si>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</si>
  <si>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</si>
  <si>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</si>
  <si>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</si>
  <si>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</si>
  <si>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</si>
  <si>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</si>
  <si>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</si>
  <si>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</si>
  <si>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</si>
  <si>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</si>
  <si>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</si>
  <si>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</si>
  <si>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</si>
  <si>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</si>
  <si>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</si>
  <si>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</si>
  <si>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</si>
  <si>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</si>
  <si>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</si>
  <si>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</si>
  <si>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</si>
  <si>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</si>
  <si>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</si>
  <si>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</si>
  <si>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</si>
  <si>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</si>
  <si>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</si>
  <si>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</si>
  <si>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</si>
  <si>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</si>
  <si>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</si>
  <si>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</si>
  <si>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</si>
  <si>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</si>
  <si>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</si>
  <si>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</si>
  <si>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</si>
  <si>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</si>
  <si>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</si>
  <si>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</si>
  <si>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</si>
  <si>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</si>
  <si>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</si>
  <si>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</si>
  <si>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</si>
  <si>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</si>
  <si>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</si>
  <si>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</si>
  <si>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</si>
  <si>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</si>
  <si>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</si>
  <si>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</si>
  <si>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</si>
  <si>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</si>
  <si>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</si>
  <si>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</si>
  <si>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</si>
  <si>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</si>
  <si>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</si>
  <si>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</si>
  <si>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</si>
  <si>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</si>
  <si>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</si>
  <si>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</si>
  <si>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</si>
  <si>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</si>
  <si>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</si>
  <si>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</si>
  <si>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</si>
  <si>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</si>
  <si>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</si>
  <si>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</si>
  <si>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</si>
  <si>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</si>
  <si>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</si>
  <si>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</si>
  <si>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</si>
  <si>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</si>
  <si>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</si>
  <si>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</si>
  <si>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</si>
  <si>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</si>
  <si>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</si>
  <si>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</si>
  <si>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</si>
  <si>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</si>
  <si>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</si>
  <si>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</si>
  <si>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</si>
  <si>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</si>
  <si>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</si>
  <si>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</si>
  <si>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</si>
  <si>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</si>
  <si>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</si>
  <si>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</si>
  <si>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</si>
  <si>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</si>
  <si>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</si>
  <si>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</si>
  <si>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</si>
  <si>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</si>
  <si>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</si>
  <si>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</si>
  <si>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</si>
  <si>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</si>
  <si>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</si>
  <si>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</si>
  <si>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</si>
  <si>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</si>
  <si>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</si>
  <si>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</si>
  <si>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</si>
  <si>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</si>
  <si>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</si>
  <si>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</si>
  <si>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</si>
  <si>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</si>
  <si>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</si>
  <si>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</si>
  <si>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</si>
  <si>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</si>
  <si>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</si>
  <si>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</si>
  <si>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</si>
  <si>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</si>
  <si>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</si>
  <si>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</si>
  <si>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</si>
  <si>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</si>
  <si>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</si>
  <si>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</si>
  <si>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</si>
  <si>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</si>
  <si>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</si>
  <si>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</si>
  <si>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</si>
  <si>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</si>
  <si>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</si>
  <si>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</si>
  <si>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</si>
  <si>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</si>
  <si>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</si>
  <si>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</si>
  <si>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</si>
  <si>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</si>
  <si>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</si>
  <si>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</si>
  <si>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</si>
  <si>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</si>
  <si>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</si>
  <si>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</si>
  <si>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</si>
  <si>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</si>
  <si>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</si>
  <si>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</si>
  <si>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</si>
  <si>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</si>
  <si>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</si>
  <si>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</si>
  <si>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</si>
  <si>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</si>
  <si>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</si>
  <si>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</si>
  <si>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</si>
  <si>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</si>
  <si>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</si>
  <si>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</si>
  <si>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</si>
  <si>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</si>
  <si>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</si>
  <si>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</si>
  <si>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</si>
  <si>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</si>
  <si>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</si>
  <si>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</si>
  <si>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</si>
  <si>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</si>
  <si>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</si>
  <si>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</si>
  <si>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</si>
  <si>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</si>
  <si>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</si>
  <si>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</si>
  <si>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</si>
  <si>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</si>
  <si>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</si>
  <si>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</si>
  <si>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</si>
  <si>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</si>
  <si>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</si>
  <si>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</si>
  <si>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</si>
  <si>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</si>
  <si>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</si>
  <si>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</si>
  <si>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</si>
  <si>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</si>
  <si>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</si>
  <si>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</si>
  <si>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</si>
  <si>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</si>
  <si>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</si>
  <si>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</si>
  <si>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</si>
  <si>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</si>
  <si>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</si>
  <si>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</si>
  <si>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</si>
  <si>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</si>
  <si>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</si>
  <si>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</si>
  <si>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</si>
  <si>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</si>
  <si>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</si>
  <si>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</si>
  <si>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</si>
  <si>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</si>
  <si>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</si>
  <si>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</si>
  <si>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</si>
  <si>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</si>
  <si>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</si>
  <si>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</si>
  <si>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</si>
  <si>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</si>
  <si>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</si>
  <si>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</si>
  <si>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</si>
  <si>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</si>
  <si>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</si>
  <si>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</si>
  <si>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</si>
  <si>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</si>
  <si>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</si>
  <si>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</si>
  <si>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</si>
  <si>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</si>
  <si>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</si>
  <si>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</si>
  <si>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</si>
  <si>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</si>
  <si>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</si>
  <si>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</si>
  <si>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</si>
  <si>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</si>
  <si>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</si>
  <si>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</si>
  <si>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</si>
  <si>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</si>
  <si>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</si>
  <si>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</si>
  <si>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</si>
  <si>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</si>
  <si>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</si>
  <si>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</si>
  <si>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</si>
  <si>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</si>
  <si>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</si>
  <si>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</si>
  <si>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</si>
  <si>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</si>
  <si>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</si>
  <si>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</si>
  <si>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</si>
  <si>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</si>
  <si>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</si>
  <si>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</si>
  <si>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</si>
  <si>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</si>
  <si>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</si>
  <si>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</si>
  <si>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</si>
  <si>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</si>
  <si>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</si>
  <si>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</si>
  <si>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</si>
  <si>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</si>
  <si>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</si>
  <si>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</si>
  <si>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</si>
  <si>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</si>
  <si>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</si>
  <si>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</si>
  <si>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</si>
  <si>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</si>
  <si>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</si>
  <si>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</si>
  <si>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</si>
  <si>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</si>
  <si>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</si>
  <si>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</si>
  <si>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</si>
  <si>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</si>
  <si>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</si>
  <si>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</si>
  <si>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</si>
  <si>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</si>
  <si>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</si>
  <si>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</si>
  <si>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</si>
  <si>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</si>
  <si>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</si>
  <si>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</si>
  <si>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</si>
  <si>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</si>
  <si>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</si>
  <si>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</si>
  <si>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</si>
  <si>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</si>
  <si>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</si>
  <si>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</si>
  <si>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</si>
  <si>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</si>
  <si>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</si>
  <si>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</si>
  <si>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</si>
  <si>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</si>
  <si>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</si>
  <si>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</si>
  <si>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</si>
  <si>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</si>
  <si>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</si>
  <si>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</si>
  <si>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</si>
  <si>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</si>
  <si>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</si>
  <si>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</si>
  <si>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</si>
  <si>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</si>
  <si>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</si>
  <si>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</si>
  <si>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</si>
  <si>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</si>
  <si>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</si>
  <si>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</si>
  <si>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</si>
  <si>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</si>
  <si>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</si>
  <si>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</si>
  <si>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</si>
  <si>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</si>
  <si>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</si>
  <si>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</si>
  <si>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</si>
  <si>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</si>
  <si>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</si>
  <si>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</si>
  <si>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</si>
  <si>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</si>
  <si>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</si>
  <si>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</si>
  <si>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</si>
  <si>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</si>
  <si>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</si>
  <si>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</si>
  <si>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</si>
  <si>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</si>
  <si>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</si>
  <si>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</si>
  <si>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</si>
  <si>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</si>
  <si>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</si>
  <si>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</si>
  <si>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</si>
  <si>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</si>
  <si>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</si>
  <si>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</si>
  <si>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</si>
  <si>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</si>
  <si>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</si>
  <si>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</si>
  <si>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</si>
  <si>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</si>
  <si>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</si>
  <si>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</si>
  <si>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</si>
  <si>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</si>
  <si>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</si>
  <si>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</si>
  <si>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</si>
  <si>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</si>
  <si>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</si>
  <si>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</si>
  <si>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</si>
  <si>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</si>
  <si>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</si>
  <si>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</si>
  <si>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</si>
  <si>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</si>
  <si>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</si>
  <si>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</si>
  <si>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</si>
  <si>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</si>
  <si>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</si>
  <si>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</si>
  <si>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</si>
  <si>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</si>
  <si>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</si>
  <si>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</si>
  <si>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</si>
  <si>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</si>
  <si>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</si>
  <si>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</si>
  <si>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</si>
  <si>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</si>
  <si>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</si>
  <si>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</si>
  <si>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</si>
  <si>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</si>
  <si>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</si>
  <si>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</si>
  <si>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</si>
  <si>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</si>
  <si>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</si>
  <si>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</si>
  <si>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</si>
  <si>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</si>
  <si>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</si>
  <si>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</si>
  <si>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</si>
  <si>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</si>
  <si>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</si>
  <si>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</si>
  <si>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</si>
  <si>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</si>
  <si>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</si>
  <si>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</si>
  <si>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</si>
  <si>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</si>
  <si>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</si>
  <si>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</si>
  <si>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</si>
  <si>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</si>
  <si>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</si>
  <si>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</si>
  <si>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</si>
  <si>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</si>
  <si>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</si>
  <si>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</si>
  <si>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</si>
  <si>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</si>
  <si>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</si>
  <si>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</si>
  <si>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</si>
  <si>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</si>
  <si>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</si>
  <si>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</si>
  <si>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</si>
  <si>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</si>
  <si>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</si>
  <si>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</si>
  <si>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</si>
  <si>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</si>
  <si>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</si>
  <si>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</si>
  <si>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</si>
  <si>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</si>
  <si>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</si>
  <si>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</si>
  <si>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</si>
  <si>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</si>
  <si>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</si>
  <si>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</si>
  <si>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</si>
  <si>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</si>
  <si>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</si>
  <si>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</si>
  <si>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</si>
  <si>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</si>
  <si>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</si>
  <si>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</si>
  <si>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</si>
  <si>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</si>
  <si>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</si>
  <si>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</si>
  <si>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</si>
  <si>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</si>
  <si>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</si>
  <si>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</si>
  <si>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</si>
  <si>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</si>
  <si>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</si>
  <si>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</si>
  <si>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</si>
  <si>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</si>
  <si>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</si>
  <si>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</si>
  <si>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</si>
  <si>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</si>
  <si>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</si>
  <si>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</si>
  <si>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</si>
  <si>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</si>
  <si>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</si>
  <si>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</si>
  <si>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</si>
  <si>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</si>
  <si>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</si>
  <si>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</si>
  <si>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</si>
  <si>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</si>
  <si>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</si>
  <si>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</si>
  <si>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</si>
  <si>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</si>
  <si>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</si>
  <si>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</si>
  <si>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</si>
  <si>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</si>
  <si>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</si>
  <si>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</si>
  <si>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</si>
  <si>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</si>
  <si>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</si>
  <si>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</si>
  <si>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</si>
  <si>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</si>
  <si>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</si>
  <si>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</si>
  <si>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</si>
  <si>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</si>
  <si>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</si>
  <si>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</si>
  <si>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</si>
  <si>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</si>
  <si>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</si>
  <si>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</si>
  <si>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</si>
  <si>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</si>
  <si>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</si>
  <si>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</si>
  <si>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</si>
  <si>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</si>
  <si>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</si>
  <si>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</si>
  <si>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</si>
  <si>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</si>
  <si>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</si>
  <si>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</si>
  <si>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</si>
  <si>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</si>
  <si>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</si>
  <si>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</si>
  <si>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</si>
  <si>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</si>
  <si>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</si>
  <si>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</si>
  <si>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</si>
  <si>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</si>
  <si>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</si>
  <si>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</si>
  <si>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</si>
  <si>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</si>
  <si>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</si>
  <si>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</si>
  <si>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</si>
  <si>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</si>
  <si>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</si>
  <si>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</si>
  <si>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</si>
  <si>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</si>
  <si>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</si>
  <si>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</si>
  <si>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</si>
  <si>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</si>
  <si>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</si>
  <si>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</si>
  <si>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</si>
  <si>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</si>
  <si>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</si>
  <si>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</si>
  <si>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</si>
  <si>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</si>
  <si>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</si>
  <si>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</si>
  <si>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</si>
  <si>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</si>
  <si>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</si>
  <si>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</si>
  <si>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</si>
  <si>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</si>
  <si>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</si>
  <si>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</si>
  <si>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</si>
  <si>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</si>
  <si>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</si>
  <si>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</si>
  <si>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</si>
  <si>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</si>
  <si>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</si>
  <si>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</si>
  <si>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</si>
  <si>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</si>
  <si>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</si>
  <si>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</si>
  <si>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</si>
  <si>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</si>
  <si>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</si>
  <si>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</si>
  <si>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</si>
  <si>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</si>
  <si>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</si>
  <si>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</si>
  <si>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</si>
  <si>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</si>
  <si>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</si>
  <si>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</si>
  <si>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</si>
  <si>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</si>
  <si>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</si>
  <si>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</si>
  <si>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</si>
  <si>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</si>
  <si>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</si>
  <si>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</si>
  <si>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</si>
  <si>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</si>
  <si>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</si>
  <si>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</si>
  <si>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</si>
  <si>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</si>
  <si>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</si>
  <si>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</si>
  <si>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</si>
  <si>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</si>
  <si>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</si>
  <si>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</si>
  <si>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</si>
  <si>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</si>
  <si>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</si>
  <si>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</si>
  <si>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</si>
  <si>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</si>
  <si>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</si>
  <si>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</si>
  <si>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</si>
  <si>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</si>
  <si>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</si>
  <si>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</si>
  <si>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</si>
  <si>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</si>
  <si>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</si>
  <si>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</si>
  <si>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</si>
  <si>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</si>
  <si>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</si>
  <si>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</si>
  <si>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</si>
  <si>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</si>
  <si>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</si>
  <si>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</si>
  <si>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</si>
  <si>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</si>
  <si>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</si>
  <si>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</si>
  <si>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</si>
  <si>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</si>
  <si>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</si>
  <si>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</si>
  <si>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</si>
  <si>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</si>
  <si>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</si>
  <si>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</si>
  <si>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</si>
  <si>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</si>
  <si>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</si>
  <si>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</si>
  <si>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</si>
  <si>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</si>
  <si>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</si>
  <si>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</si>
  <si>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</si>
  <si>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</si>
  <si>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</si>
  <si>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</si>
  <si>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</si>
  <si>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</si>
  <si>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</si>
  <si>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</si>
  <si>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</si>
  <si>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</si>
  <si>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</si>
  <si>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</si>
  <si>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</si>
  <si>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</si>
  <si>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</si>
  <si>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</si>
  <si>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</si>
  <si>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</si>
  <si>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</si>
  <si>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</si>
  <si>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</si>
  <si>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</si>
  <si>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</si>
  <si>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</si>
  <si>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</si>
  <si>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</si>
  <si>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</si>
  <si>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</si>
  <si>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</si>
  <si>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</si>
  <si>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</si>
  <si>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</si>
  <si>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</si>
  <si>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</si>
  <si>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</si>
  <si>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</si>
  <si>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</si>
  <si>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</si>
  <si>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</si>
  <si>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</si>
  <si>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</si>
  <si>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</si>
  <si>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</si>
  <si>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</si>
  <si>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</si>
  <si>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</si>
  <si>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</si>
  <si>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</si>
  <si>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</si>
  <si>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</si>
  <si>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</si>
  <si>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</si>
  <si>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</si>
  <si>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</si>
  <si>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</si>
  <si>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</si>
  <si>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</si>
  <si>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</si>
  <si>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</si>
  <si>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</si>
  <si>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</si>
  <si>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</si>
  <si>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</si>
  <si>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</si>
  <si>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</si>
  <si>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</si>
  <si>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</si>
  <si>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</si>
  <si>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</si>
  <si>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</si>
  <si>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</si>
  <si>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</si>
  <si>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</si>
  <si>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</si>
  <si>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</si>
  <si>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</si>
  <si>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</si>
  <si>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</si>
  <si>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</si>
  <si>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</si>
  <si>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</si>
  <si>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</si>
  <si>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</si>
  <si>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</si>
  <si>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</si>
  <si>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</si>
  <si>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</si>
  <si>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</si>
  <si>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</si>
  <si>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</si>
  <si>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</si>
  <si>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</si>
  <si>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</si>
  <si>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</si>
  <si>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</si>
  <si>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</si>
  <si>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</si>
  <si>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</si>
  <si>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</si>
  <si>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</si>
  <si>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</si>
  <si>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</si>
  <si>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</si>
  <si>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</si>
  <si>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</si>
  <si>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</si>
  <si>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</si>
  <si>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</si>
  <si>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</si>
  <si>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</si>
  <si>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</si>
  <si>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</si>
  <si>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</si>
  <si>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</si>
  <si>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</si>
  <si>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</si>
  <si>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</si>
  <si>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</si>
  <si>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</si>
  <si>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</si>
  <si>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</si>
  <si>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</si>
  <si>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</si>
  <si>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</si>
  <si>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</si>
  <si>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</si>
  <si>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</si>
  <si>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</si>
  <si>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</si>
  <si>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</si>
  <si>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</si>
  <si>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</si>
  <si>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</si>
  <si>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</si>
  <si>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</si>
  <si>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</si>
  <si>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</si>
  <si>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</si>
  <si>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</si>
  <si>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</si>
  <si>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</si>
  <si>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</si>
  <si>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</si>
  <si>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</si>
  <si>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</si>
  <si>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</si>
  <si>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</si>
  <si>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</si>
  <si>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</si>
  <si>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</si>
  <si>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</si>
  <si>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</si>
  <si>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</si>
  <si>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</si>
  <si>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</si>
  <si>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</si>
  <si>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</si>
  <si>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</si>
  <si>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</si>
  <si>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</si>
  <si>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</si>
  <si>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</si>
  <si>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</si>
  <si>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</si>
  <si>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</si>
  <si>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</si>
  <si>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</si>
  <si>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</si>
  <si>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</si>
  <si>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</si>
  <si>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</si>
  <si>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</si>
  <si>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</si>
  <si>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</si>
  <si>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</si>
  <si>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</si>
  <si>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</si>
  <si>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</si>
  <si>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</si>
  <si>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</si>
  <si>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</si>
  <si>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</si>
  <si>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</si>
  <si>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</si>
  <si>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</si>
  <si>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</si>
  <si>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</si>
  <si>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</si>
  <si>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</si>
  <si>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</si>
  <si>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</si>
  <si>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</si>
  <si>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</si>
  <si>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</si>
  <si>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</si>
  <si>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</si>
  <si>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</si>
  <si>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</si>
  <si>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</si>
  <si>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</si>
  <si>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</si>
  <si>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</si>
  <si>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</si>
  <si>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</si>
  <si>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</si>
  <si>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</si>
  <si>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</si>
  <si>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</si>
  <si>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</si>
  <si>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</si>
  <si>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</si>
  <si>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</si>
  <si>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</si>
  <si>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</si>
  <si>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</si>
  <si>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</si>
  <si>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</si>
  <si>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</si>
  <si>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</si>
  <si>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</si>
  <si>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</si>
  <si>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</si>
  <si>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</si>
  <si>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</si>
  <si>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</si>
  <si>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</si>
  <si>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</si>
  <si>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</si>
  <si>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</si>
  <si>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</si>
  <si>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</si>
  <si>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</si>
  <si>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</si>
  <si>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</si>
  <si>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</si>
  <si>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</si>
  <si>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</si>
  <si>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</si>
  <si>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</si>
  <si>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</si>
  <si>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</si>
  <si>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</si>
  <si>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</si>
  <si>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</si>
  <si>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</si>
  <si>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</si>
  <si>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</si>
  <si>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</si>
  <si>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</si>
  <si>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</si>
  <si>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</si>
  <si>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</si>
  <si>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</si>
  <si>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</si>
  <si>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</si>
  <si>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</si>
  <si>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</si>
  <si>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</si>
  <si>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</si>
  <si>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</si>
  <si>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</si>
  <si>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</si>
  <si>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</si>
  <si>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</si>
  <si>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</si>
  <si>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</si>
  <si>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</si>
  <si>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</si>
  <si>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</si>
  <si>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</si>
  <si>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</si>
  <si>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</si>
  <si>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</si>
  <si>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</si>
  <si>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</si>
  <si>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</si>
  <si>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</si>
  <si>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</si>
  <si>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</si>
  <si>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</si>
  <si>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</si>
  <si>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</si>
  <si>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</si>
  <si>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</si>
  <si>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</si>
  <si>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</si>
  <si>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</si>
  <si>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</si>
  <si>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</si>
  <si>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</si>
  <si>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</si>
  <si>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</si>
  <si>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</si>
  <si>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</si>
  <si>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</si>
  <si>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</si>
  <si>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</si>
  <si>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</si>
  <si>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</si>
  <si>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</si>
  <si>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</si>
  <si>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</si>
  <si>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</si>
  <si>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</si>
  <si>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</si>
  <si>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</si>
  <si>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</si>
  <si>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</si>
  <si>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</si>
  <si>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</si>
  <si>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</si>
  <si>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</si>
  <si>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</si>
  <si>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</si>
  <si>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</si>
  <si>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</si>
  <si>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</si>
  <si>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</si>
  <si>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</si>
  <si>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</si>
  <si>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</si>
  <si>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</si>
  <si>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</si>
  <si>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</si>
  <si>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</si>
  <si>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</si>
  <si>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</si>
  <si>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</si>
  <si>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</si>
  <si>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</si>
  <si>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</si>
  <si>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</si>
  <si>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</si>
  <si>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</si>
  <si>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</si>
  <si>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</si>
  <si>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</si>
  <si>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</si>
  <si>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</si>
  <si>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</si>
  <si>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</si>
  <si>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</si>
  <si>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</si>
  <si>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</si>
  <si>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</si>
  <si>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</si>
  <si>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</si>
  <si>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</si>
  <si>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</si>
  <si>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</si>
  <si>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</si>
  <si>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</si>
  <si>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</si>
  <si>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</si>
  <si>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</si>
  <si>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</si>
  <si>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</si>
  <si>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</si>
  <si>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</si>
  <si>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</si>
  <si>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</si>
  <si>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</si>
  <si>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</si>
  <si>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</si>
  <si>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</si>
  <si>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</si>
  <si>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</si>
  <si>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</si>
  <si>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</si>
  <si>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</si>
  <si>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</si>
  <si>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</si>
  <si>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</si>
  <si>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</si>
  <si>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</si>
  <si>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</si>
  <si>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</si>
  <si>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</si>
  <si>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</si>
  <si>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</si>
  <si>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</si>
  <si>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</si>
  <si>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</si>
  <si>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</si>
  <si>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</si>
  <si>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</si>
  <si>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</si>
  <si>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</si>
  <si>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</si>
  <si>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</si>
  <si>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</si>
  <si>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</si>
  <si>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</si>
  <si>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</si>
  <si>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</si>
  <si>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</si>
  <si>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</si>
  <si>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</si>
  <si>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</si>
  <si>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</si>
  <si>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</si>
  <si>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</si>
  <si>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</si>
  <si>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</si>
  <si>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</si>
  <si>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</si>
  <si>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</si>
  <si>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</si>
  <si>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</si>
  <si>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</si>
  <si>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</si>
  <si>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</si>
  <si>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</si>
  <si>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</si>
  <si>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</si>
  <si>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</si>
  <si>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</si>
  <si>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</si>
  <si>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</si>
  <si>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</si>
  <si>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</si>
  <si>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</si>
  <si>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</si>
  <si>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</si>
  <si>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</si>
  <si>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</si>
  <si>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</si>
  <si>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</si>
  <si>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</si>
  <si>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</si>
  <si>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</si>
  <si>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</si>
  <si>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</si>
  <si>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</si>
  <si>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</si>
  <si>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</si>
  <si>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</si>
  <si>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</si>
  <si>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</si>
  <si>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</si>
  <si>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</si>
  <si>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</si>
  <si>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</si>
  <si>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</si>
  <si>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</si>
  <si>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</si>
  <si>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</si>
  <si>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</si>
  <si>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</si>
  <si>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</si>
  <si>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</si>
  <si>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</si>
  <si>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</si>
  <si>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</si>
  <si>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</si>
  <si>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</si>
  <si>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</si>
  <si>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</si>
  <si>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</si>
  <si>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</si>
  <si>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</si>
  <si>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</si>
  <si>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</si>
  <si>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</si>
  <si>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</si>
  <si>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</si>
  <si>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</si>
  <si>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</si>
  <si>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</si>
  <si>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</si>
  <si>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</si>
  <si>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</si>
  <si>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</si>
  <si>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</si>
  <si>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</si>
  <si>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</si>
  <si>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</si>
  <si>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</si>
  <si>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</si>
  <si>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</si>
  <si>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</si>
  <si>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</si>
  <si>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</si>
  <si>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</si>
  <si>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</si>
  <si>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</si>
  <si>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</si>
  <si>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</si>
  <si>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</si>
  <si>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</si>
  <si>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</si>
  <si>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</si>
  <si>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</si>
  <si>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</si>
  <si>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</si>
  <si>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</si>
  <si>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</si>
  <si>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</si>
  <si>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</si>
  <si>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</si>
  <si>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</si>
  <si>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</si>
  <si>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</si>
  <si>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</si>
  <si>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</si>
  <si>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</si>
  <si>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</si>
  <si>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</si>
  <si>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</si>
  <si>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</si>
  <si>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</si>
  <si>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</si>
  <si>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</si>
  <si>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</si>
  <si>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</si>
  <si>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</si>
  <si>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</si>
  <si>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</si>
  <si>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</si>
  <si>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</si>
  <si>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</si>
  <si>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</si>
  <si>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</si>
  <si>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</si>
  <si>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</si>
  <si>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</si>
  <si>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</si>
  <si>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</si>
  <si>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</si>
  <si>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</si>
  <si>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</si>
  <si>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</si>
  <si>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</si>
  <si>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</si>
  <si>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</si>
  <si>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</si>
  <si>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</si>
  <si>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</si>
  <si>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</si>
  <si>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</si>
  <si>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</si>
  <si>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</si>
  <si>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</si>
  <si>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</si>
  <si>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</si>
  <si>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</si>
  <si>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</si>
  <si>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</si>
  <si>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</si>
  <si>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</si>
  <si>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</si>
  <si>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</si>
  <si>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</si>
  <si>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</si>
  <si>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</si>
  <si>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</si>
  <si>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</si>
  <si>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</si>
  <si>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</si>
  <si>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</si>
  <si>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</si>
  <si>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</si>
  <si>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</si>
  <si>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</si>
  <si>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</si>
  <si>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</si>
  <si>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</si>
  <si>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</si>
  <si>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</si>
  <si>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</si>
  <si>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</si>
  <si>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</si>
  <si>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</si>
  <si>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</si>
  <si>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</si>
  <si>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</si>
  <si>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</si>
  <si>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</si>
  <si>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</si>
  <si>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</si>
  <si>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</si>
  <si>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</si>
  <si>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</si>
  <si>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</si>
  <si>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</si>
  <si>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</si>
  <si>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</si>
  <si>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</si>
  <si>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</si>
  <si>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</si>
  <si>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</si>
  <si>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</si>
  <si>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</si>
  <si>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</si>
  <si>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</si>
  <si>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</si>
  <si>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</si>
  <si>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</si>
  <si>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</si>
  <si>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</si>
  <si>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</si>
  <si>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</si>
  <si>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</si>
  <si>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</si>
  <si>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</si>
  <si>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</si>
  <si>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</si>
  <si>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</si>
  <si>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</si>
  <si>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</si>
  <si>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</si>
  <si>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</si>
  <si>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</si>
  <si>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</si>
  <si>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</si>
  <si>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</si>
  <si>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</si>
  <si>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</si>
  <si>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</si>
  <si>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</si>
  <si>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</si>
  <si>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</si>
  <si>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</si>
  <si>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</si>
  <si>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</si>
  <si>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</si>
  <si>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</si>
  <si>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</si>
  <si>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</si>
  <si>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</si>
  <si>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</si>
  <si>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</si>
  <si>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</si>
  <si>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</si>
  <si>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</si>
  <si>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</si>
  <si>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</si>
  <si>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</si>
  <si>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</si>
  <si>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</si>
  <si>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</si>
  <si>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</si>
  <si>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</si>
  <si>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</si>
  <si>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</si>
  <si>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</si>
  <si>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</si>
  <si>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</si>
  <si>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</si>
  <si>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</si>
  <si>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</si>
  <si>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</si>
  <si>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</si>
  <si>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</si>
  <si>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</si>
  <si>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</si>
  <si>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</si>
  <si>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</si>
  <si>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</si>
  <si>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</si>
  <si>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</si>
  <si>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</si>
  <si>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</si>
  <si>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</si>
  <si>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</si>
  <si>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</si>
  <si>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</si>
  <si>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</si>
  <si>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</si>
  <si>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</si>
  <si>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</si>
  <si>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</si>
  <si>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</si>
  <si>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</si>
  <si>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</si>
  <si>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</si>
  <si>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</si>
  <si>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</si>
  <si>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</si>
  <si>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</si>
  <si>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</si>
  <si>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</si>
  <si>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</si>
  <si>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</si>
  <si>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</si>
  <si>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</si>
  <si>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</si>
  <si>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</si>
  <si>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</si>
  <si>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</si>
  <si>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</si>
  <si>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</si>
  <si>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</si>
  <si>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</si>
  <si>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</si>
  <si>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</si>
  <si>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</si>
  <si>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</si>
  <si>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</si>
  <si>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</si>
  <si>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</si>
  <si>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</si>
  <si>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</si>
  <si>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</si>
  <si>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</si>
  <si>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</si>
  <si>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</si>
  <si>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</si>
  <si>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</si>
  <si>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</si>
  <si>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</si>
  <si>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</si>
  <si>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</si>
  <si>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</si>
  <si>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</si>
  <si>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</si>
  <si>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</si>
  <si>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</si>
  <si>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</si>
  <si>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</si>
  <si>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</si>
  <si>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</si>
  <si>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</si>
  <si>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</si>
  <si>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</si>
  <si>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</si>
  <si>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</si>
  <si>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</si>
  <si>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</si>
  <si>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</si>
  <si>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</si>
  <si>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</si>
  <si>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</si>
  <si>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</si>
  <si>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</si>
  <si>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</si>
  <si>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</si>
  <si>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</si>
  <si>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</si>
  <si>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</si>
  <si>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</si>
  <si>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</si>
  <si>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</si>
  <si>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</si>
  <si>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</si>
  <si>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</si>
  <si>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</si>
  <si>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</si>
  <si>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</si>
  <si>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</si>
  <si>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</si>
  <si>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</si>
  <si>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</si>
  <si>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</si>
  <si>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</si>
  <si>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</si>
  <si>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</si>
  <si>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</si>
  <si>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</si>
  <si>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</si>
  <si>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</si>
  <si>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</si>
  <si>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</si>
  <si>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</si>
  <si>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</si>
  <si>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</si>
  <si>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</si>
  <si>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</si>
  <si>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</si>
  <si>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</si>
  <si>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</si>
  <si>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</si>
  <si>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</si>
  <si>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</si>
  <si>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</si>
  <si>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</si>
  <si>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</si>
  <si>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</si>
  <si>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</si>
  <si>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</si>
  <si>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</si>
  <si>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</si>
  <si>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</si>
  <si>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</si>
  <si>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</si>
  <si>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</si>
  <si>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</si>
  <si>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</si>
  <si>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</si>
  <si>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</si>
  <si>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</si>
  <si>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</si>
  <si>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</si>
  <si>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</si>
  <si>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</si>
  <si>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</si>
  <si>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</si>
  <si>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</si>
  <si>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</si>
  <si>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</si>
  <si>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</si>
  <si>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</si>
  <si>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</si>
  <si>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</si>
  <si>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</si>
  <si>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</si>
  <si>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</si>
  <si>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</si>
  <si>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</si>
  <si>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</si>
  <si>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</si>
  <si>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</si>
  <si>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</si>
  <si>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</si>
  <si>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</si>
  <si>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</si>
  <si>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</si>
  <si>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</si>
  <si>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</si>
  <si>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</si>
  <si>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</si>
  <si>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</si>
  <si>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</si>
  <si>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</si>
  <si>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</si>
  <si>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</si>
  <si>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</si>
  <si>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</si>
  <si>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</si>
  <si>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</si>
  <si>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</si>
  <si>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</si>
  <si>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</si>
  <si>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</si>
  <si>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</si>
  <si>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</si>
  <si>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</si>
  <si>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</si>
  <si>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</si>
  <si>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</si>
  <si>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</si>
  <si>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</si>
  <si>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</si>
  <si>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</si>
  <si>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</si>
  <si>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</si>
  <si>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</si>
  <si>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</si>
  <si>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</si>
  <si>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</si>
  <si>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</si>
  <si>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</si>
  <si>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</si>
  <si>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</si>
  <si>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</si>
  <si>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</si>
  <si>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</si>
  <si>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</si>
  <si>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</si>
  <si>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</si>
  <si>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</si>
  <si>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</si>
  <si>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</si>
  <si>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</si>
  <si>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</si>
  <si>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</si>
  <si>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</si>
  <si>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</si>
  <si>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</si>
  <si>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</si>
  <si>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</si>
  <si>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</si>
  <si>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</si>
  <si>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</si>
  <si>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</si>
  <si>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</si>
  <si>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</si>
  <si>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</si>
  <si>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</si>
  <si>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</si>
  <si>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</si>
  <si>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</si>
  <si>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</si>
  <si>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</si>
  <si>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</si>
  <si>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</si>
  <si>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</si>
  <si>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</si>
  <si>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</si>
  <si>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</si>
  <si>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</si>
  <si>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</si>
  <si>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</si>
  <si>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</si>
  <si>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</si>
  <si>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</si>
  <si>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</si>
  <si>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</si>
  <si>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</si>
  <si>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</si>
  <si>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</si>
  <si>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</si>
  <si>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</si>
  <si>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</si>
  <si>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</si>
  <si>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</si>
  <si>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</si>
  <si>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</si>
  <si>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</si>
  <si>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</si>
  <si>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</si>
  <si>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</si>
  <si>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</si>
  <si>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</si>
  <si>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</si>
  <si>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</si>
  <si>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</si>
  <si>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</si>
  <si>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</si>
  <si>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</si>
  <si>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</si>
  <si>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</si>
  <si>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</si>
  <si>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</si>
  <si>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</si>
  <si>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</si>
  <si>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</si>
  <si>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</si>
  <si>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</si>
  <si>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</si>
  <si>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</si>
  <si>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</si>
  <si>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</si>
  <si>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</si>
  <si>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</si>
  <si>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</si>
  <si>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</si>
  <si>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</si>
  <si>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</si>
  <si>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</si>
  <si>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</si>
  <si>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</si>
  <si>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</si>
  <si>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</si>
  <si>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</si>
  <si>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</si>
  <si>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</si>
  <si>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</si>
  <si>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</si>
  <si>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</si>
  <si>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</si>
  <si>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</si>
  <si>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</si>
  <si>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</si>
  <si>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</si>
  <si>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</si>
  <si>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</si>
  <si>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</si>
  <si>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</si>
  <si>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</si>
  <si>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</si>
  <si>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</si>
  <si>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</si>
  <si>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</si>
  <si>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</si>
  <si>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</si>
  <si>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</si>
  <si>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</si>
  <si>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</si>
  <si>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</si>
  <si>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</si>
  <si>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</si>
  <si>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</si>
  <si>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</si>
  <si>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</si>
  <si>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</si>
  <si>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</si>
  <si>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</si>
  <si>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</si>
  <si>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</si>
  <si>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</si>
  <si>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</si>
  <si>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</si>
  <si>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</si>
  <si>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</si>
  <si>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</si>
  <si>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</si>
  <si>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</si>
  <si>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</si>
  <si>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</si>
  <si>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</si>
  <si>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</si>
  <si>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</si>
  <si>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</si>
  <si>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</si>
  <si>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</si>
  <si>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</si>
  <si>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</si>
  <si>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</si>
  <si>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</si>
  <si>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</si>
  <si>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</si>
  <si>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</si>
  <si>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</si>
  <si>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</si>
  <si>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</si>
  <si>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</si>
  <si>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</si>
  <si>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</si>
  <si>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</si>
  <si>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</si>
  <si>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</si>
  <si>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</si>
  <si>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</si>
  <si>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</si>
  <si>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</si>
  <si>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</si>
  <si>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</si>
  <si>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</si>
  <si>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</si>
  <si>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</si>
  <si>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</si>
  <si>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</si>
  <si>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</si>
  <si>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</si>
  <si>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</si>
  <si>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</si>
  <si>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</si>
  <si>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</si>
  <si>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</si>
  <si>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</si>
  <si>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</si>
  <si>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</si>
  <si>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</si>
  <si>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</si>
  <si>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</si>
  <si>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</si>
  <si>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</si>
  <si>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</si>
  <si>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</si>
  <si>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</si>
  <si>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</si>
  <si>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</si>
  <si>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</si>
  <si>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</si>
  <si>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</si>
  <si>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</si>
  <si>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</si>
  <si>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</si>
  <si>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</si>
  <si>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</si>
  <si>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</si>
  <si>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</si>
  <si>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</si>
  <si>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</si>
  <si>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</si>
  <si>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</si>
  <si>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</si>
  <si>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</si>
  <si>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</si>
  <si>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</si>
  <si>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</si>
  <si>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</si>
  <si>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</si>
  <si>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</si>
  <si>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</si>
  <si>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</si>
  <si>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</si>
  <si>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</si>
  <si>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</si>
  <si>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</si>
  <si>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</si>
  <si>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</si>
  <si>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</si>
  <si>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</si>
  <si>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</si>
  <si>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</si>
  <si>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</si>
  <si>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</si>
  <si>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</si>
  <si>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</si>
  <si>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</si>
  <si>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</si>
  <si>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</si>
  <si>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</si>
  <si>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</si>
  <si>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</si>
  <si>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</si>
  <si>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</si>
  <si>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</si>
  <si>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</si>
  <si>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</si>
  <si>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</si>
  <si>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</si>
  <si>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</si>
  <si>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</si>
  <si>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</si>
  <si>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</si>
  <si>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</si>
  <si>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</si>
  <si>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</si>
  <si>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</si>
  <si>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</si>
  <si>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</si>
  <si>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</si>
  <si>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</si>
  <si>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</si>
  <si>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</si>
  <si>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</si>
  <si>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</si>
  <si>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</si>
  <si>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</si>
  <si>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</si>
  <si>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</si>
  <si>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</si>
  <si>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</si>
  <si>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</si>
  <si>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</si>
  <si>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</si>
  <si>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</si>
  <si>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</si>
  <si>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</si>
  <si>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</si>
  <si>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</si>
  <si>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</si>
  <si>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</si>
  <si>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</si>
  <si>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</si>
  <si>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</si>
  <si>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</si>
  <si>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</si>
  <si>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</si>
  <si>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</si>
  <si>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</si>
  <si>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</si>
  <si>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</si>
  <si>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</si>
  <si>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</si>
  <si>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</si>
  <si>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</si>
  <si>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</si>
  <si>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</si>
  <si>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</si>
  <si>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</si>
  <si>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</si>
  <si>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</si>
  <si>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</si>
  <si>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</si>
  <si>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</si>
  <si>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</si>
  <si>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</si>
  <si>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</si>
  <si>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</si>
  <si>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</si>
  <si>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</si>
  <si>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</si>
  <si>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</si>
  <si>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</si>
  <si>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</si>
  <si>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</si>
  <si>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</si>
  <si>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</si>
  <si>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</si>
  <si>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</si>
  <si>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</si>
  <si>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</si>
  <si>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</si>
  <si>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</si>
  <si>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</si>
  <si>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</si>
  <si>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</si>
  <si>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</si>
  <si>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</si>
  <si>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</si>
  <si>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</si>
  <si>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</si>
  <si>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</si>
  <si>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</si>
  <si>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</si>
  <si>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</si>
  <si>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</si>
  <si>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</si>
  <si>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</si>
  <si>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</si>
  <si>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</si>
  <si>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</si>
  <si>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</si>
  <si>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</si>
  <si>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</si>
  <si>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</si>
  <si>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</si>
  <si>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</si>
  <si>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</si>
  <si>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</si>
  <si>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</si>
  <si>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</si>
  <si>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</si>
  <si>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</si>
  <si>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</si>
  <si>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</si>
  <si>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</si>
  <si>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</si>
  <si>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</si>
  <si>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</si>
  <si>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</si>
  <si>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</si>
  <si>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</si>
  <si>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</si>
  <si>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</si>
  <si>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</si>
  <si>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</si>
  <si>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</si>
  <si>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</si>
  <si>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</si>
  <si>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</si>
  <si>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</si>
  <si>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</si>
  <si>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</si>
  <si>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</si>
  <si>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</si>
  <si>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</si>
  <si>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</si>
  <si>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</si>
  <si>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</si>
  <si>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</si>
  <si>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</si>
  <si>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</si>
  <si>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</si>
  <si>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</si>
  <si>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</si>
  <si>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</si>
  <si>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</si>
  <si>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</si>
  <si>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</si>
  <si>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</si>
  <si>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</si>
  <si>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</si>
  <si>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</si>
  <si>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</si>
  <si>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</si>
  <si>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</si>
  <si>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</si>
  <si>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</si>
  <si>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</si>
  <si>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</si>
  <si>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</si>
  <si>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</si>
  <si>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</si>
  <si>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</si>
  <si>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</si>
  <si>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</si>
  <si>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</si>
  <si>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</si>
  <si>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</si>
  <si>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</si>
  <si>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</si>
  <si>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</si>
  <si>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</si>
  <si>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</si>
  <si>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</si>
  <si>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</si>
  <si>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</si>
  <si>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</si>
  <si>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</si>
  <si>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</si>
  <si>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</si>
  <si>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</si>
  <si>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</si>
  <si>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</si>
  <si>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</si>
  <si>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</si>
  <si>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</si>
  <si>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</si>
  <si>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</si>
  <si>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</si>
  <si>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</si>
  <si>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</si>
  <si>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</si>
  <si>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</si>
  <si>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</si>
  <si>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</si>
  <si>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</si>
  <si>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</si>
  <si>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</si>
  <si>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</si>
  <si>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</si>
  <si>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</si>
  <si>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</si>
  <si>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</si>
  <si>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</si>
  <si>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</si>
  <si>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</si>
  <si>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</si>
  <si>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</si>
  <si>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</si>
  <si>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</si>
  <si>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</si>
  <si>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</si>
  <si>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</si>
  <si>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</si>
  <si>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</si>
  <si>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</si>
  <si>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</si>
  <si>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</si>
  <si>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</si>
  <si>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</si>
  <si>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</si>
  <si>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</si>
  <si>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</si>
  <si>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</si>
  <si>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</si>
  <si>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</si>
  <si>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</si>
  <si>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</si>
  <si>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</si>
  <si>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</si>
  <si>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</si>
  <si>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</si>
  <si>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</si>
  <si>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</si>
  <si>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</si>
  <si>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</si>
  <si>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</si>
  <si>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</si>
  <si>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</si>
  <si>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</si>
  <si>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</si>
  <si>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</si>
  <si>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</si>
  <si>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</si>
  <si>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</si>
  <si>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</si>
  <si>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</si>
  <si>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</si>
  <si>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</si>
  <si>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</si>
  <si>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</si>
  <si>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</si>
  <si>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</si>
  <si>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</si>
  <si>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</si>
  <si>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</si>
  <si>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</si>
  <si>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</si>
  <si>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</si>
  <si>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</si>
  <si>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</si>
  <si>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</si>
  <si>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</si>
  <si>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</si>
  <si>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</si>
  <si>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</si>
  <si>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</si>
  <si>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</si>
  <si>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</si>
  <si>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</si>
  <si>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</si>
  <si>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</si>
  <si>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</si>
  <si>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</si>
  <si>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</si>
  <si>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</si>
  <si>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</si>
  <si>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</si>
  <si>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</si>
  <si>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</si>
  <si>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</si>
  <si>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</si>
  <si>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</si>
  <si>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</si>
  <si>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</si>
  <si>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</si>
  <si>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</si>
  <si>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</si>
  <si>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</si>
  <si>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</si>
  <si>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</si>
  <si>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</si>
  <si>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</si>
  <si>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</si>
  <si>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</si>
  <si>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</si>
  <si>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</si>
  <si>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</si>
  <si>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</si>
  <si>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</si>
  <si>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</si>
  <si>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</si>
  <si>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</si>
  <si>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</si>
  <si>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</si>
  <si>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</si>
  <si>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</si>
  <si>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</si>
  <si>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</si>
  <si>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</si>
  <si>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</si>
  <si>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</si>
  <si>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</si>
  <si>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</si>
  <si>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</si>
  <si>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</si>
  <si>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</si>
  <si>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</si>
  <si>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</si>
  <si>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</si>
  <si>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</si>
  <si>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</si>
  <si>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</si>
  <si>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</si>
  <si>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</si>
  <si>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</si>
  <si>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</si>
  <si>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</si>
  <si>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</si>
  <si>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</si>
  <si>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</si>
  <si>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</si>
  <si>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</si>
  <si>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</si>
  <si>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</si>
  <si>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</si>
  <si>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</si>
  <si>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</si>
  <si>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</si>
  <si>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</si>
  <si>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</si>
  <si>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</si>
  <si>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</si>
  <si>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</si>
  <si>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</si>
  <si>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</si>
  <si>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</si>
  <si>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</si>
  <si>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</si>
  <si>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</si>
  <si>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</si>
  <si>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</si>
  <si>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</si>
  <si>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</si>
  <si>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</si>
  <si>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</si>
  <si>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</si>
  <si>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</si>
  <si>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</si>
  <si>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</si>
  <si>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</si>
  <si>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</si>
  <si>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</si>
  <si>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</si>
  <si>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</si>
  <si>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</si>
  <si>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</si>
  <si>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</si>
  <si>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</si>
  <si>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</si>
  <si>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</si>
  <si>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</si>
  <si>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</si>
  <si>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</si>
  <si>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</si>
  <si>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</si>
  <si>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</si>
  <si>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</si>
  <si>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</si>
  <si>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</si>
  <si>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</si>
  <si>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</si>
  <si>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</si>
  <si>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</si>
  <si>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</si>
  <si>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</si>
  <si>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</si>
  <si>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</si>
  <si>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</si>
  <si>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</si>
  <si>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</si>
  <si>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</si>
  <si>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</si>
  <si>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</si>
  <si>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</si>
  <si>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</si>
  <si>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</si>
  <si>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</si>
  <si>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</si>
  <si>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</si>
  <si>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</si>
  <si>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</si>
  <si>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</si>
  <si>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</si>
  <si>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</si>
  <si>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</si>
  <si>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</si>
  <si>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</si>
  <si>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</si>
  <si>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</si>
  <si>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</si>
  <si>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</si>
  <si>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</si>
  <si>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</si>
  <si>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Snapshot Date</t>
  </si>
  <si>
    <t>Row Labels</t>
  </si>
  <si>
    <t>Last Order Date</t>
  </si>
  <si>
    <t>Recency (days)</t>
  </si>
  <si>
    <t>Frequency</t>
  </si>
  <si>
    <t>Monetary</t>
  </si>
  <si>
    <t>R Score</t>
  </si>
  <si>
    <t>F Score</t>
  </si>
  <si>
    <t>M Score</t>
  </si>
  <si>
    <t>RFM Score</t>
  </si>
  <si>
    <t>Segment</t>
  </si>
  <si>
    <t>Loyal Repeat Customers</t>
  </si>
  <si>
    <t>At-Risk Repeat Customers</t>
  </si>
  <si>
    <t>Recent High-Value (One-Time)</t>
  </si>
  <si>
    <t>Lapsed One-Time Buyers</t>
  </si>
  <si>
    <t>Standard One-Time Buyers</t>
  </si>
  <si>
    <t xml:space="preserve">Segment </t>
  </si>
  <si>
    <t>Count</t>
  </si>
  <si>
    <t>Repeat Purchase Rate by Loyalty</t>
  </si>
  <si>
    <t>Repeat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</si>
</sst>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00"/>
    <numFmt numFmtId="175" formatCode="&quot;$&quot;#,##0.00"/>
  </numFmts>
  <fonts count="7" x14ac:knownFonts="1">
    <font>
      <sz val="11"/>
      <color theme="1"/>
      <name val="Calibri"/>
      <family val="2"/>
      <scheme val="minor"/>
    </font>
    <font>
      <sz val="11"/>
      <color indexed="8"/>
      <name val="Calibri"/>
      <family val="2"/>
    </font>
    <font>
      <sz val="11"/>
      <color theme="1"/>
      <name val="Calibri"/>
      <family val="2"/>
      <scheme val="minor"/>
    </font>
    <font>
      <sz val="11"/>
      <color rgb="FF3C1464"/>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style="thin">
        <color theme="4" tint="-0.249977111117893"/>
      </top>
      <bottom style="medium">
        <color theme="4" tint="-0.249977111117893"/>
      </bottom>
      <diagonal/>
    </border>
  </borders>
  <cellStyleXfs count="2">
    <xf numFmtId="0" fontId="0" fillId="0" borderId="0"/>
    <xf numFmtId="44" fontId="2" fillId="0" borderId="0" applyFont="0" applyFill="0" applyBorder="0" applyAlignment="0" applyProtection="0"/>
  </cellStyleXfs>
  <cellXfs count="2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 fontId="0" fillId="0" borderId="0" xfId="0" applyNumberFormat="1"/>
    <xf numFmtId="0" fontId="3" fillId="0" borderId="0" xfId="0" applyFont="1"/>
    <xf numFmtId="168" fontId="0" fillId="0" borderId="0" xfId="0" applyNumberFormat="1"/>
    <xf numFmtId="14" fontId="0" fillId="0" borderId="0" xfId="0" applyNumberFormat="1"/>
    <xf numFmtId="0" fontId="0" fillId="0" borderId="0" xfId="0" applyAlignment="1">
      <alignment horizontal="left"/>
    </xf>
    <xf numFmtId="0" fontId="0" fillId="0" borderId="0" xfId="0" applyFont="1" applyAlignment="1">
      <alignment horizontal="left"/>
    </xf>
    <xf numFmtId="0" fontId="4" fillId="0" borderId="1" xfId="0" applyFont="1" applyBorder="1" applyAlignment="1">
      <alignment horizontal="left"/>
    </xf>
    <xf numFmtId="0" fontId="6" fillId="0" borderId="0" xfId="0" applyFont="1"/>
    <xf numFmtId="14" fontId="6" fillId="0" borderId="0" xfId="0" applyNumberFormat="1" applyFont="1"/>
    <xf numFmtId="175" fontId="6" fillId="0" borderId="0" xfId="0" applyNumberFormat="1" applyFont="1"/>
    <xf numFmtId="0" fontId="6" fillId="0" borderId="0" xfId="0" applyNumberFormat="1" applyFont="1"/>
    <xf numFmtId="0" fontId="5" fillId="0" borderId="0" xfId="0" applyFont="1"/>
    <xf numFmtId="175" fontId="5" fillId="0" borderId="0" xfId="0" applyNumberFormat="1" applyFont="1"/>
    <xf numFmtId="0" fontId="4" fillId="0" borderId="0" xfId="0" applyFont="1"/>
    <xf numFmtId="164" fontId="0" fillId="0" borderId="0" xfId="0" applyNumberFormat="1" applyFont="1"/>
  </cellXfs>
  <cellStyles count="2">
    <cellStyle name="Currency" xfId="1" builtinId="4"/>
    <cellStyle name="Normal" xfId="0" builtinId="0"/>
  </cellStyles>
  <dxfs count="28">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75" formatCode="&quot;$&quot;#,##0.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fill>
        <patternFill>
          <bgColor rgb="FF3C1464"/>
        </patternFill>
      </fill>
      <border>
        <left style="thin">
          <color theme="0"/>
        </left>
        <right style="thin">
          <color theme="0"/>
        </right>
        <top style="thin">
          <color theme="0"/>
        </top>
        <bottom style="thin">
          <color theme="0"/>
        </bottom>
      </border>
    </dxf>
    <dxf>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font>
      <fill>
        <patternFill patternType="solid">
          <fgColor theme="0"/>
          <bgColor rgb="FF3C140A"/>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4" defaultTableStyle="TableStyleMedium2" defaultPivotStyle="PivotStyleMedium9">
    <tableStyle name="Invisible" pivot="0" table="0" count="0" xr9:uid="{4DA6F4A6-6A7F-4AD9-95A4-A23A2472E007}"/>
    <tableStyle name="Purple Slicer" pivot="0" table="0" count="6" xr9:uid="{6A90567D-609F-49AF-A24A-796FDA83455E}">
      <tableStyleElement type="wholeTable" dxfId="27"/>
      <tableStyleElement type="headerRow" dxfId="26"/>
    </tableStyle>
    <tableStyle name="Timeline Style 1" pivot="0" table="0" count="8" xr9:uid="{EFBB34EA-5920-4959-884E-3BC2F8A73A6E}">
      <tableStyleElement type="wholeTable" dxfId="25"/>
      <tableStyleElement type="headerRow" dxfId="24"/>
    </tableStyle>
    <tableStyle name="Timeline Style 2" pivot="0" table="0" count="8" xr9:uid="{A89282F4-3DB4-46B3-80BB-05ABD0C05CFC}">
      <tableStyleElement type="wholeTable" dxfId="23"/>
      <tableStyleElement type="headerRow" dxfId="22"/>
    </tableStyle>
  </tableStyles>
  <colors>
    <mruColors>
      <color rgb="FF1F4E79"/>
      <color rgb="FF1FAE79"/>
      <color rgb="FFD9BFF3"/>
      <color rgb="FF502800"/>
      <color rgb="FF663300"/>
      <color rgb="FF6B23B3"/>
      <color rgb="FF521B89"/>
      <color rgb="FF3C1464"/>
      <color rgb="FFCDABEF"/>
      <color rgb="FFC9A4EE"/>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AE78E4"/>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lotArea>
      <c:layout/>
      <c:barChart>
        <c:barDir val="bar"/>
        <c:grouping val="clustered"/>
        <c:varyColors val="0"/>
        <c:ser>
          <c:idx val="0"/>
          <c:order val="0"/>
          <c:tx>
            <c:strRef>
              <c:f>'RFM Analysis'!$O$4</c:f>
              <c:strCache>
                <c:ptCount val="1"/>
                <c:pt idx="0">
                  <c:v>Count</c:v>
                </c:pt>
              </c:strCache>
            </c:strRef>
          </c:tx>
          <c:spPr>
            <a:solidFill>
              <a:srgbClr val="1F4E79"/>
            </a:solidFill>
            <a:ln>
              <a:noFill/>
            </a:ln>
            <a:effectLst/>
          </c:spPr>
          <c:invertIfNegative val="0"/>
          <c:cat>
            <c:strRef>
              <c:f>'RFM Analysis'!$N$5:$N$9</c:f>
              <c:strCache>
                <c:ptCount val="5"/>
                <c:pt idx="0">
                  <c:v>Loyal Repeat Customers</c:v>
                </c:pt>
                <c:pt idx="1">
                  <c:v>At-Risk Repeat Customers</c:v>
                </c:pt>
                <c:pt idx="2">
                  <c:v>Recent High-Value (One-Time)</c:v>
                </c:pt>
                <c:pt idx="3">
                  <c:v>Lapsed One-Time Buyers</c:v>
                </c:pt>
                <c:pt idx="4">
                  <c:v>Standard One-Time Buyers</c:v>
                </c:pt>
              </c:strCache>
            </c:strRef>
          </c:cat>
          <c:val>
            <c:numRef>
              <c:f>'RFM Analysis'!$O$5:$O$9</c:f>
              <c:numCache>
                <c:formatCode>General</c:formatCode>
                <c:ptCount val="5"/>
                <c:pt idx="0">
                  <c:v>33</c:v>
                </c:pt>
                <c:pt idx="1">
                  <c:v>19</c:v>
                </c:pt>
                <c:pt idx="2">
                  <c:v>129</c:v>
                </c:pt>
                <c:pt idx="3">
                  <c:v>351</c:v>
                </c:pt>
                <c:pt idx="4">
                  <c:v>381</c:v>
                </c:pt>
              </c:numCache>
            </c:numRef>
          </c:val>
          <c:extLst>
            <c:ext xmlns:c16="http://schemas.microsoft.com/office/drawing/2014/chart" uri="{C3380CC4-5D6E-409C-BE32-E72D297353CC}">
              <c16:uniqueId val="{00000000-772C-4AB6-99D6-9A9BA15842AD}"/>
            </c:ext>
          </c:extLst>
        </c:ser>
        <c:dLbls>
          <c:showLegendKey val="0"/>
          <c:showVal val="0"/>
          <c:showCatName val="0"/>
          <c:showSerName val="0"/>
          <c:showPercent val="0"/>
          <c:showBubbleSize val="0"/>
        </c:dLbls>
        <c:gapWidth val="182"/>
        <c:axId val="1559908959"/>
        <c:axId val="1263965007"/>
      </c:barChart>
      <c:catAx>
        <c:axId val="155990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63965007"/>
        <c:crosses val="autoZero"/>
        <c:auto val="1"/>
        <c:lblAlgn val="ctr"/>
        <c:lblOffset val="100"/>
        <c:noMultiLvlLbl val="0"/>
      </c:catAx>
      <c:valAx>
        <c:axId val="126396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9908959"/>
        <c:crosses val="autoZero"/>
        <c:crossBetween val="between"/>
      </c:valAx>
      <c:spPr>
        <a:noFill/>
        <a:ln>
          <a:noFill/>
        </a:ln>
        <a:effectLst/>
      </c:spPr>
    </c:plotArea>
    <c:plotVisOnly val="1"/>
    <c:dispBlanksAs val="gap"/>
    <c:showDLblsOverMax val="0"/>
  </c:chart>
  <c:spPr>
    <a:solidFill>
      <a:srgbClr val="D9BFF3"/>
    </a:solidFill>
    <a:ln w="9525" cap="flat" cmpd="sng" algn="ctr">
      <a:noFill/>
      <a:round/>
    </a:ln>
    <a:effectLst/>
  </c:spPr>
  <c:txPr>
    <a:bodyPr/>
    <a:lstStyle/>
    <a:p>
      <a:pPr>
        <a:defRPr baseline="0">
          <a:solidFill>
            <a:srgbClr val="3C146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lotArea>
      <c:layout/>
      <c:barChart>
        <c:barDir val="col"/>
        <c:grouping val="clustered"/>
        <c:varyColors val="0"/>
        <c:ser>
          <c:idx val="0"/>
          <c:order val="0"/>
          <c:tx>
            <c:strRef>
              <c:f>'RFM Analysis'!$O$12</c:f>
              <c:strCache>
                <c:ptCount val="1"/>
                <c:pt idx="0">
                  <c:v>Repeat Rate %</c:v>
                </c:pt>
              </c:strCache>
            </c:strRef>
          </c:tx>
          <c:spPr>
            <a:solidFill>
              <a:schemeClr val="accent1"/>
            </a:solidFill>
            <a:ln>
              <a:noFill/>
            </a:ln>
            <a:effectLst/>
          </c:spPr>
          <c:invertIfNegative val="0"/>
          <c:cat>
            <c:strRef>
              <c:f>'RFM Analysis'!$N$13:$N$14</c:f>
              <c:strCache>
                <c:ptCount val="2"/>
                <c:pt idx="0">
                  <c:v>No</c:v>
                </c:pt>
                <c:pt idx="1">
                  <c:v>Yes</c:v>
                </c:pt>
              </c:strCache>
            </c:strRef>
          </c:cat>
          <c:val>
            <c:numRef>
              <c:f>'RFM Analysis'!$O$13:$O$14</c:f>
              <c:numCache>
                <c:formatCode>0.0</c:formatCode>
                <c:ptCount val="2"/>
                <c:pt idx="0">
                  <c:v>6.5957446808510634</c:v>
                </c:pt>
                <c:pt idx="1">
                  <c:v>4.7404063205417613</c:v>
                </c:pt>
              </c:numCache>
            </c:numRef>
          </c:val>
          <c:extLst>
            <c:ext xmlns:c16="http://schemas.microsoft.com/office/drawing/2014/chart" uri="{C3380CC4-5D6E-409C-BE32-E72D297353CC}">
              <c16:uniqueId val="{00000000-FF06-4059-9E7C-164F84A7A91E}"/>
            </c:ext>
          </c:extLst>
        </c:ser>
        <c:dLbls>
          <c:showLegendKey val="0"/>
          <c:showVal val="0"/>
          <c:showCatName val="0"/>
          <c:showSerName val="0"/>
          <c:showPercent val="0"/>
          <c:showBubbleSize val="0"/>
        </c:dLbls>
        <c:gapWidth val="219"/>
        <c:overlap val="-27"/>
        <c:axId val="1555720511"/>
        <c:axId val="583239023"/>
      </c:barChart>
      <c:catAx>
        <c:axId val="155572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83239023"/>
        <c:crosses val="autoZero"/>
        <c:auto val="1"/>
        <c:lblAlgn val="ctr"/>
        <c:lblOffset val="100"/>
        <c:noMultiLvlLbl val="0"/>
      </c:catAx>
      <c:valAx>
        <c:axId val="583239023"/>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720511"/>
        <c:crosses val="autoZero"/>
        <c:crossBetween val="between"/>
      </c:valAx>
      <c:spPr>
        <a:noFill/>
        <a:ln>
          <a:noFill/>
        </a:ln>
        <a:effectLst/>
      </c:spPr>
    </c:plotArea>
    <c:plotVisOnly val="1"/>
    <c:dispBlanksAs val="gap"/>
    <c:showDLblsOverMax val="0"/>
  </c:chart>
  <c:spPr>
    <a:solidFill>
      <a:srgbClr val="D9BFF3"/>
    </a:solidFill>
    <a:ln w="9525" cap="flat" cmpd="sng" algn="ctr">
      <a:noFill/>
      <a:round/>
    </a:ln>
    <a:effectLst/>
  </c:spPr>
  <c:txPr>
    <a:bodyPr/>
    <a:lstStyle/>
    <a:p>
      <a:pPr>
        <a:defRPr baseline="0">
          <a:solidFill>
            <a:srgbClr val="3C146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Excel.xlsx]Total Sales!PivotTable1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8A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5D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9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pivotFmt>
      <c:pivotFmt>
        <c:idx val="13"/>
        <c:spPr>
          <a:ln w="28575" cap="rnd">
            <a:solidFill>
              <a:srgbClr val="005DA2"/>
            </a:solidFill>
            <a:round/>
          </a:ln>
          <a:effectLst/>
        </c:spPr>
        <c:marker>
          <c:symbol val="none"/>
        </c:marker>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dPt>
            <c:idx val="32"/>
            <c:marker>
              <c:symbol val="none"/>
            </c:marker>
            <c:bubble3D val="0"/>
            <c:spPr>
              <a:ln w="28575" cap="rnd">
                <a:solidFill>
                  <a:srgbClr val="C00000"/>
                </a:solidFill>
                <a:round/>
              </a:ln>
              <a:effectLst/>
            </c:spPr>
            <c:extLst>
              <c:ext xmlns:c16="http://schemas.microsoft.com/office/drawing/2014/chart" uri="{C3380CC4-5D6E-409C-BE32-E72D297353CC}">
                <c16:uniqueId val="{00000004-3AED-4C93-83E9-15CFC42D8987}"/>
              </c:ext>
            </c:extLst>
          </c:dPt>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AED-4C93-83E9-15CFC42D8987}"/>
            </c:ext>
          </c:extLst>
        </c:ser>
        <c:ser>
          <c:idx val="1"/>
          <c:order val="1"/>
          <c:tx>
            <c:strRef>
              <c:f>'Total Sales'!$D$3:$D$4</c:f>
              <c:strCache>
                <c:ptCount val="1"/>
                <c:pt idx="0">
                  <c:v>Excelsa</c:v>
                </c:pt>
              </c:strCache>
            </c:strRef>
          </c:tx>
          <c:spPr>
            <a:ln w="28575" cap="rnd">
              <a:solidFill>
                <a:srgbClr val="008A3E"/>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AED-4C93-83E9-15CFC42D8987}"/>
            </c:ext>
          </c:extLst>
        </c:ser>
        <c:ser>
          <c:idx val="2"/>
          <c:order val="2"/>
          <c:tx>
            <c:strRef>
              <c:f>'Total Sales'!$E$3:$E$4</c:f>
              <c:strCache>
                <c:ptCount val="1"/>
                <c:pt idx="0">
                  <c:v>Liberica</c:v>
                </c:pt>
              </c:strCache>
            </c:strRef>
          </c:tx>
          <c:spPr>
            <a:ln w="28575" cap="rnd">
              <a:solidFill>
                <a:srgbClr val="005DA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AED-4C93-83E9-15CFC42D8987}"/>
            </c:ext>
          </c:extLst>
        </c:ser>
        <c:ser>
          <c:idx val="3"/>
          <c:order val="3"/>
          <c:tx>
            <c:strRef>
              <c:f>'Total Sales'!$F$3:$F$4</c:f>
              <c:strCache>
                <c:ptCount val="1"/>
                <c:pt idx="0">
                  <c:v>Robusta</c:v>
                </c:pt>
              </c:strCache>
            </c:strRef>
          </c:tx>
          <c:spPr>
            <a:ln w="28575" cap="rnd">
              <a:solidFill>
                <a:srgbClr val="CC9B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AED-4C93-83E9-15CFC42D8987}"/>
            </c:ext>
          </c:extLst>
        </c:ser>
        <c:dLbls>
          <c:showLegendKey val="0"/>
          <c:showVal val="0"/>
          <c:showCatName val="0"/>
          <c:showSerName val="0"/>
          <c:showPercent val="0"/>
          <c:showBubbleSize val="0"/>
        </c:dLbls>
        <c:smooth val="0"/>
        <c:axId val="1236775744"/>
        <c:axId val="1236777184"/>
      </c:lineChart>
      <c:catAx>
        <c:axId val="123677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7184"/>
        <c:crosses val="autoZero"/>
        <c:auto val="1"/>
        <c:lblAlgn val="ctr"/>
        <c:lblOffset val="100"/>
        <c:noMultiLvlLbl val="0"/>
      </c:catAx>
      <c:valAx>
        <c:axId val="123677718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b="1"/>
                  <a:t>USD</a:t>
                </a:r>
                <a:r>
                  <a:rPr lang="en-US" b="1" baseline="0"/>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5744"/>
        <c:crosses val="autoZero"/>
        <c:crossBetween val="between"/>
      </c:valAx>
      <c:spPr>
        <a:solidFill>
          <a:srgbClr val="D9BFF3"/>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Excel.xlsx]Country BarChart (2)!PivotTable1</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25400">
            <a:solidFill>
              <a:schemeClr val="bg1"/>
            </a:solidFill>
          </a:ln>
          <a:effectLst/>
        </c:spPr>
      </c:pivotFmt>
      <c:pivotFmt>
        <c:idx val="11"/>
        <c:spPr>
          <a:solidFill>
            <a:srgbClr val="0070C0"/>
          </a:solidFill>
          <a:ln w="25400">
            <a:solidFill>
              <a:schemeClr val="bg1"/>
            </a:solidFill>
          </a:ln>
          <a:effectLst/>
        </c:spPr>
      </c:pivotFmt>
      <c:pivotFmt>
        <c:idx val="12"/>
        <c:spPr>
          <a:solidFill>
            <a:srgbClr val="0070C0"/>
          </a:solidFill>
          <a:ln w="25400">
            <a:solidFill>
              <a:schemeClr val="bg1"/>
            </a:solidFill>
          </a:ln>
          <a:effectLst/>
        </c:spPr>
      </c:pivotFmt>
      <c:pivotFmt>
        <c:idx val="13"/>
        <c:spPr>
          <a:solidFill>
            <a:srgbClr val="0070C0"/>
          </a:solidFill>
          <a:ln w="25400">
            <a:solidFill>
              <a:schemeClr val="bg1"/>
            </a:solidFill>
          </a:ln>
          <a:effectLst/>
        </c:spPr>
      </c:pivotFmt>
      <c:pivotFmt>
        <c:idx val="14"/>
        <c:spPr>
          <a:solidFill>
            <a:srgbClr val="0070C0"/>
          </a:solidFill>
          <a:ln w="25400">
            <a:solidFill>
              <a:schemeClr val="bg1"/>
            </a:solidFill>
          </a:ln>
          <a:effectLst/>
        </c:spPr>
      </c:pivotFmt>
    </c:pivotFmts>
    <c:plotArea>
      <c:layout/>
      <c:barChart>
        <c:barDir val="bar"/>
        <c:grouping val="clustered"/>
        <c:varyColors val="0"/>
        <c:ser>
          <c:idx val="0"/>
          <c:order val="0"/>
          <c:tx>
            <c:strRef>
              <c:f>'Country BarChart (2)'!$B$3</c:f>
              <c:strCache>
                <c:ptCount val="1"/>
                <c:pt idx="0">
                  <c:v>Total</c:v>
                </c:pt>
              </c:strCache>
            </c:strRef>
          </c:tx>
          <c:spPr>
            <a:solidFill>
              <a:srgbClr val="0070C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C66-4155-9786-19B2844E21E6}"/>
              </c:ext>
            </c:extLst>
          </c:dPt>
          <c:dPt>
            <c:idx val="1"/>
            <c:invertIfNegative val="0"/>
            <c:bubble3D val="0"/>
            <c:extLst>
              <c:ext xmlns:c16="http://schemas.microsoft.com/office/drawing/2014/chart" uri="{C3380CC4-5D6E-409C-BE32-E72D297353CC}">
                <c16:uniqueId val="{00000001-6C66-4155-9786-19B2844E21E6}"/>
              </c:ext>
            </c:extLst>
          </c:dPt>
          <c:dPt>
            <c:idx val="2"/>
            <c:invertIfNegative val="0"/>
            <c:bubble3D val="0"/>
            <c:extLst>
              <c:ext xmlns:c16="http://schemas.microsoft.com/office/drawing/2014/chart" uri="{C3380CC4-5D6E-409C-BE32-E72D297353CC}">
                <c16:uniqueId val="{00000002-6C66-4155-9786-19B2844E21E6}"/>
              </c:ext>
            </c:extLst>
          </c:dPt>
          <c:dPt>
            <c:idx val="3"/>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5-6C66-4155-9786-19B2844E21E6}"/>
              </c:ext>
            </c:extLst>
          </c:dPt>
          <c:dPt>
            <c:idx val="4"/>
            <c:invertIfNegative val="0"/>
            <c:bubble3D val="0"/>
            <c:extLst>
              <c:ext xmlns:c16="http://schemas.microsoft.com/office/drawing/2014/chart" uri="{C3380CC4-5D6E-409C-BE32-E72D297353CC}">
                <c16:uniqueId val="{00000004-6C66-4155-9786-19B2844E21E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 (2)'!$A$4:$A$9</c:f>
              <c:strCache>
                <c:ptCount val="5"/>
                <c:pt idx="0">
                  <c:v>Don Flintiff</c:v>
                </c:pt>
                <c:pt idx="1">
                  <c:v>Nealson Cuttler</c:v>
                </c:pt>
                <c:pt idx="2">
                  <c:v>Terri Farra</c:v>
                </c:pt>
                <c:pt idx="3">
                  <c:v>Brenn Dundredge</c:v>
                </c:pt>
                <c:pt idx="4">
                  <c:v>Allis Wilmore</c:v>
                </c:pt>
              </c:strCache>
            </c:strRef>
          </c:cat>
          <c:val>
            <c:numRef>
              <c:f>'Country BarChart (2)'!$B$4:$B$9</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C66-4155-9786-19B2844E21E6}"/>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2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Excel.xlsx]Country BarChart!PivotTable1</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chemeClr val="accent5">
              <a:lumMod val="50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25400">
            <a:solidFill>
              <a:schemeClr val="bg1">
                <a:lumMod val="95000"/>
              </a:schemeClr>
            </a:solidFill>
          </a:ln>
          <a:effectLst/>
        </c:spPr>
      </c:pivotFmt>
      <c:pivotFmt>
        <c:idx val="10"/>
        <c:spPr>
          <a:solidFill>
            <a:schemeClr val="accent5">
              <a:lumMod val="75000"/>
            </a:schemeClr>
          </a:solidFill>
          <a:ln w="25400">
            <a:solidFill>
              <a:schemeClr val="bg1">
                <a:lumMod val="95000"/>
              </a:schemeClr>
            </a:solidFill>
          </a:ln>
          <a:effectLst/>
        </c:spPr>
      </c:pivotFmt>
      <c:pivotFmt>
        <c:idx val="11"/>
        <c:spPr>
          <a:solidFill>
            <a:schemeClr val="accent5">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5">
                <a:lumMod val="50000"/>
              </a:schemeClr>
            </a:solidFill>
            <a:ln w="25400">
              <a:solidFill>
                <a:schemeClr val="bg1">
                  <a:lumMod val="95000"/>
                </a:schemeClr>
              </a:solidFill>
            </a:ln>
            <a:effectLst/>
          </c:spPr>
          <c:invertIfNegative val="0"/>
          <c:dPt>
            <c:idx val="0"/>
            <c:invertIfNegative val="0"/>
            <c:bubble3D val="0"/>
            <c:spPr>
              <a:solidFill>
                <a:schemeClr val="accent5">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1-D854-44AC-BC89-3312CDAD85E0}"/>
              </c:ext>
            </c:extLst>
          </c:dPt>
          <c:dPt>
            <c:idx val="1"/>
            <c:invertIfNegative val="0"/>
            <c:bubble3D val="0"/>
            <c:spPr>
              <a:solidFill>
                <a:schemeClr val="accent5">
                  <a:lumMod val="75000"/>
                </a:schemeClr>
              </a:solidFill>
              <a:ln w="25400">
                <a:solidFill>
                  <a:schemeClr val="bg1">
                    <a:lumMod val="95000"/>
                  </a:schemeClr>
                </a:solidFill>
              </a:ln>
              <a:effectLst/>
            </c:spPr>
            <c:extLst>
              <c:ext xmlns:c16="http://schemas.microsoft.com/office/drawing/2014/chart" uri="{C3380CC4-5D6E-409C-BE32-E72D297353CC}">
                <c16:uniqueId val="{00000003-D854-44AC-BC89-3312CDAD85E0}"/>
              </c:ext>
            </c:extLst>
          </c:dPt>
          <c:dPt>
            <c:idx val="2"/>
            <c:invertIfNegative val="0"/>
            <c:bubble3D val="0"/>
            <c:spPr>
              <a:solidFill>
                <a:schemeClr val="accent5">
                  <a:lumMod val="50000"/>
                </a:schemeClr>
              </a:solidFill>
              <a:ln w="25400">
                <a:solidFill>
                  <a:schemeClr val="bg1">
                    <a:lumMod val="95000"/>
                  </a:schemeClr>
                </a:solidFill>
              </a:ln>
              <a:effectLst/>
            </c:spPr>
            <c:extLst>
              <c:ext xmlns:c16="http://schemas.microsoft.com/office/drawing/2014/chart" uri="{C3380CC4-5D6E-409C-BE32-E72D297353CC}">
                <c16:uniqueId val="{00000005-D854-44AC-BC89-3312CDAD8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BarChart'!$A$4:$A$7</c:f>
              <c:strCache>
                <c:ptCount val="3"/>
                <c:pt idx="0">
                  <c:v>United Kingdom</c:v>
                </c:pt>
                <c:pt idx="1">
                  <c:v>Ireland</c:v>
                </c:pt>
                <c:pt idx="2">
                  <c:v>United States</c:v>
                </c:pt>
              </c:strCache>
            </c:strRef>
          </c:cat>
          <c:val>
            <c:numRef>
              <c:f>'Country BarChart'!$B$4:$B$7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854-44AC-BC89-3312CDAD85E0}"/>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1000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30480</xdr:colOff>
      <xdr:row>3</xdr:row>
      <xdr:rowOff>19050</xdr:rowOff>
    </xdr:from>
    <xdr:to>
      <xdr:col>23</xdr:col>
      <xdr:colOff>335280</xdr:colOff>
      <xdr:row>18</xdr:row>
      <xdr:rowOff>19050</xdr:rowOff>
    </xdr:to>
    <xdr:graphicFrame macro="">
      <xdr:nvGraphicFramePr>
        <xdr:cNvPr id="2" name="Chart 1">
          <a:extLst>
            <a:ext uri="{FF2B5EF4-FFF2-40B4-BE49-F238E27FC236}">
              <a16:creationId xmlns:a16="http://schemas.microsoft.com/office/drawing/2014/main" id="{E7334D9B-1B68-BB53-4000-72C420C60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xdr:colOff>
      <xdr:row>18</xdr:row>
      <xdr:rowOff>87630</xdr:rowOff>
    </xdr:from>
    <xdr:to>
      <xdr:col>23</xdr:col>
      <xdr:colOff>335280</xdr:colOff>
      <xdr:row>33</xdr:row>
      <xdr:rowOff>87630</xdr:rowOff>
    </xdr:to>
    <xdr:graphicFrame macro="">
      <xdr:nvGraphicFramePr>
        <xdr:cNvPr id="3" name="Chart 2">
          <a:extLst>
            <a:ext uri="{FF2B5EF4-FFF2-40B4-BE49-F238E27FC236}">
              <a16:creationId xmlns:a16="http://schemas.microsoft.com/office/drawing/2014/main" id="{8BB40DC9-A190-7C8C-0937-CF27B18CF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274320</xdr:colOff>
      <xdr:row>4</xdr:row>
      <xdr:rowOff>106681</xdr:rowOff>
    </xdr:from>
    <xdr:to>
      <xdr:col>14</xdr:col>
      <xdr:colOff>91440</xdr:colOff>
      <xdr:row>8</xdr:row>
      <xdr:rowOff>60960</xdr:rowOff>
    </xdr:to>
    <mc:AlternateContent xmlns:mc="http://schemas.openxmlformats.org/markup-compatibility/2006" xmlns:a14="http://schemas.microsoft.com/office/drawing/2010/main">
      <mc:Choice Requires="a14">
        <xdr:graphicFrame macro="">
          <xdr:nvGraphicFramePr>
            <xdr:cNvPr id="4" name="Roast Type 1">
              <a:extLst>
                <a:ext uri="{FF2B5EF4-FFF2-40B4-BE49-F238E27FC236}">
                  <a16:creationId xmlns:a16="http://schemas.microsoft.com/office/drawing/2014/main" id="{F935E36E-5186-4AE8-B32B-574968F84331}"/>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9227820" y="83820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464820</xdr:colOff>
      <xdr:row>9</xdr:row>
      <xdr:rowOff>121921</xdr:rowOff>
    </xdr:from>
    <xdr:to>
      <xdr:col>12</xdr:col>
      <xdr:colOff>464820</xdr:colOff>
      <xdr:row>15</xdr:row>
      <xdr:rowOff>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C67588F3-DFE0-4C4A-ACFE-1CE18A17551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08720" y="176784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160020</xdr:colOff>
      <xdr:row>15</xdr:row>
      <xdr:rowOff>167641</xdr:rowOff>
    </xdr:from>
    <xdr:to>
      <xdr:col>12</xdr:col>
      <xdr:colOff>160020</xdr:colOff>
      <xdr:row>20</xdr:row>
      <xdr:rowOff>129541</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FAFABEC1-1154-4551-B164-93970BC1FF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8503920" y="291084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297180</xdr:colOff>
      <xdr:row>4</xdr:row>
      <xdr:rowOff>167641</xdr:rowOff>
    </xdr:from>
    <xdr:to>
      <xdr:col>14</xdr:col>
      <xdr:colOff>114300</xdr:colOff>
      <xdr:row>8</xdr:row>
      <xdr:rowOff>121920</xdr:rowOff>
    </xdr:to>
    <mc:AlternateContent xmlns:mc="http://schemas.openxmlformats.org/markup-compatibility/2006" xmlns:a14="http://schemas.microsoft.com/office/drawing/2010/main">
      <mc:Choice Requires="a14">
        <xdr:graphicFrame macro="">
          <xdr:nvGraphicFramePr>
            <xdr:cNvPr id="2" name="Roast Type 2">
              <a:extLst>
                <a:ext uri="{FF2B5EF4-FFF2-40B4-BE49-F238E27FC236}">
                  <a16:creationId xmlns:a16="http://schemas.microsoft.com/office/drawing/2014/main" id="{EA1C2131-62CD-4EB3-B6D4-798AB30203D4}"/>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9448800" y="89916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502920</xdr:colOff>
      <xdr:row>10</xdr:row>
      <xdr:rowOff>99061</xdr:rowOff>
    </xdr:from>
    <xdr:to>
      <xdr:col>13</xdr:col>
      <xdr:colOff>502920</xdr:colOff>
      <xdr:row>15</xdr:row>
      <xdr:rowOff>160020</xdr:rowOff>
    </xdr:to>
    <mc:AlternateContent xmlns:mc="http://schemas.openxmlformats.org/markup-compatibility/2006" xmlns:a14="http://schemas.microsoft.com/office/drawing/2010/main">
      <mc:Choice Requires="a14">
        <xdr:graphicFrame macro="">
          <xdr:nvGraphicFramePr>
            <xdr:cNvPr id="3" name="Size 2">
              <a:extLst>
                <a:ext uri="{FF2B5EF4-FFF2-40B4-BE49-F238E27FC236}">
                  <a16:creationId xmlns:a16="http://schemas.microsoft.com/office/drawing/2014/main" id="{BA007DF7-DE52-495E-A38E-FDC1232CC3BE}"/>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9654540" y="192786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17</xdr:row>
      <xdr:rowOff>83821</xdr:rowOff>
    </xdr:from>
    <xdr:to>
      <xdr:col>14</xdr:col>
      <xdr:colOff>45720</xdr:colOff>
      <xdr:row>22</xdr:row>
      <xdr:rowOff>45721</xdr:rowOff>
    </xdr:to>
    <mc:AlternateContent xmlns:mc="http://schemas.openxmlformats.org/markup-compatibility/2006" xmlns:a14="http://schemas.microsoft.com/office/drawing/2010/main">
      <mc:Choice Requires="a14">
        <xdr:graphicFrame macro="">
          <xdr:nvGraphicFramePr>
            <xdr:cNvPr id="4" name="Loyalty Card 2">
              <a:extLst>
                <a:ext uri="{FF2B5EF4-FFF2-40B4-BE49-F238E27FC236}">
                  <a16:creationId xmlns:a16="http://schemas.microsoft.com/office/drawing/2014/main" id="{6F6C8F03-A22F-4299-AF33-8A4FC03CC73D}"/>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9806940" y="319278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601980</xdr:colOff>
      <xdr:row>5</xdr:row>
      <xdr:rowOff>0</xdr:rowOff>
    </xdr:to>
    <xdr:sp macro="" textlink="">
      <xdr:nvSpPr>
        <xdr:cNvPr id="3" name="Rectangle 2">
          <a:extLst>
            <a:ext uri="{FF2B5EF4-FFF2-40B4-BE49-F238E27FC236}">
              <a16:creationId xmlns:a16="http://schemas.microsoft.com/office/drawing/2014/main" id="{430BAE1A-0D7A-1E66-FA79-ABF93B81A9EC}"/>
            </a:ext>
          </a:extLst>
        </xdr:cNvPr>
        <xdr:cNvSpPr/>
      </xdr:nvSpPr>
      <xdr:spPr>
        <a:xfrm>
          <a:off x="121920" y="60960"/>
          <a:ext cx="1523238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cap="none" spc="0">
              <a:ln w="12700" cmpd="sng">
                <a:solidFill>
                  <a:srgbClr val="7030A0"/>
                </a:solidFill>
                <a:prstDash val="solid"/>
              </a:ln>
              <a:solidFill>
                <a:schemeClr val="bg1">
                  <a:lumMod val="95000"/>
                </a:schemeClr>
              </a:solidFill>
              <a:effectLst/>
            </a:rPr>
            <a:t>Coffee</a:t>
          </a:r>
          <a:r>
            <a:rPr lang="en-US" sz="4800" b="1" cap="none" spc="0" baseline="0">
              <a:ln w="12700" cmpd="sng">
                <a:solidFill>
                  <a:srgbClr val="7030A0"/>
                </a:solidFill>
                <a:prstDash val="solid"/>
              </a:ln>
              <a:solidFill>
                <a:schemeClr val="bg1">
                  <a:lumMod val="95000"/>
                </a:schemeClr>
              </a:solidFill>
              <a:effectLst/>
            </a:rPr>
            <a:t> Sales Overview</a:t>
          </a:r>
          <a:endParaRPr lang="en-US" sz="4800" b="1" cap="none" spc="0">
            <a:ln w="12700" cmpd="sng">
              <a:solidFill>
                <a:srgbClr val="7030A0"/>
              </a:solidFill>
              <a:prstDash val="solid"/>
            </a:ln>
            <a:solidFill>
              <a:schemeClr val="bg1">
                <a:lumMod val="95000"/>
              </a:schemeClr>
            </a:solidFill>
            <a:effectLst/>
          </a:endParaRPr>
        </a:p>
      </xdr:txBody>
    </xdr:sp>
    <xdr:clientData/>
  </xdr:twoCellAnchor>
  <xdr:twoCellAnchor>
    <xdr:from>
      <xdr:col>1</xdr:col>
      <xdr:colOff>15240</xdr:colOff>
      <xdr:row>17</xdr:row>
      <xdr:rowOff>22860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4B1E3952-1DE2-436F-BBD2-54E72C408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AF25AE5D-258E-4F5E-A6A9-41FB2DC73C0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349" y="862988"/>
              <a:ext cx="9814193" cy="17167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26</xdr:col>
      <xdr:colOff>0</xdr:colOff>
      <xdr:row>10</xdr:row>
      <xdr:rowOff>7620</xdr:rowOff>
    </xdr:to>
    <mc:AlternateContent xmlns:mc="http://schemas.openxmlformats.org/markup-compatibility/2006" xmlns:a14="http://schemas.microsoft.com/office/drawing/2010/main">
      <mc:Choice Requires="a14">
        <xdr:graphicFrame macro="">
          <xdr:nvGraphicFramePr>
            <xdr:cNvPr id="6" name="Roast Type">
              <a:extLst>
                <a:ext uri="{FF2B5EF4-FFF2-40B4-BE49-F238E27FC236}">
                  <a16:creationId xmlns:a16="http://schemas.microsoft.com/office/drawing/2014/main" id="{8EA596C8-9B23-4D6B-9D26-A84DD30B7B7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052892" y="862988"/>
              <a:ext cx="3754915" cy="742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39CBF5EE-6875-4B02-BE6A-B6EB59D29A1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52892"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DEC0215E-D58D-4266-B049-4359C396F25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90024"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26</xdr:row>
      <xdr:rowOff>53340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EFAA1B70-4B82-4B2B-9E44-DD688DE79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xdr:row>
      <xdr:rowOff>0</xdr:rowOff>
    </xdr:from>
    <xdr:to>
      <xdr:col>26</xdr:col>
      <xdr:colOff>0</xdr:colOff>
      <xdr:row>26</xdr:row>
      <xdr:rowOff>0</xdr:rowOff>
    </xdr:to>
    <xdr:graphicFrame macro="">
      <xdr:nvGraphicFramePr>
        <xdr:cNvPr id="10" name="Chart 9">
          <a:extLst>
            <a:ext uri="{FF2B5EF4-FFF2-40B4-BE49-F238E27FC236}">
              <a16:creationId xmlns:a16="http://schemas.microsoft.com/office/drawing/2014/main" id="{19324255-6114-4EE0-B16D-1A1FEDC64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hau" refreshedDate="46282.724482060185" createdVersion="8" refreshedVersion="8" minRefreshableVersion="3" recordCount="1000" xr:uid="{A64B0665-1520-47B4-AA7D-6FC1C5B313B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31314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x v="0"/>
    <x v="0"/>
    <n v="9.9499999999999993"/>
    <n v="19.899999999999999"/>
    <x v="0"/>
    <s v="Medium"/>
    <x v="0"/>
  </r>
  <r>
    <s v="QEV-37451-860"/>
    <x v="0"/>
    <x v="0"/>
    <s v="E-M-0.5"/>
    <n v="5"/>
    <x v="0"/>
    <s v="aallner0@lulu.com"/>
    <x v="0"/>
    <s v="Exc"/>
    <x v="0"/>
    <x v="1"/>
    <n v="8.25"/>
    <n v="41.25"/>
    <x v="1"/>
    <s v="Medium"/>
    <x v="0"/>
  </r>
  <r>
    <s v="FAA-43335-268"/>
    <x v="1"/>
    <x v="1"/>
    <s v="A-L-1"/>
    <n v="1"/>
    <x v="1"/>
    <s v="jredholes2@tmall.com"/>
    <x v="0"/>
    <s v="Ara"/>
    <x v="1"/>
    <x v="0"/>
    <n v="12.95"/>
    <n v="12.95"/>
    <x v="2"/>
    <s v="Light"/>
    <x v="0"/>
  </r>
  <r>
    <s v="KAC-83089-793"/>
    <x v="2"/>
    <x v="2"/>
    <s v="E-M-1"/>
    <n v="2"/>
    <x v="2"/>
    <s v=""/>
    <x v="1"/>
    <s v="Exc"/>
    <x v="0"/>
    <x v="0"/>
    <n v="13.75"/>
    <n v="27.5"/>
    <x v="1"/>
    <s v="Medium"/>
    <x v="1"/>
  </r>
  <r>
    <s v="KAC-83089-793"/>
    <x v="2"/>
    <x v="2"/>
    <s v="R-L-2.5"/>
    <n v="2"/>
    <x v="2"/>
    <s v=""/>
    <x v="1"/>
    <s v="Rob"/>
    <x v="1"/>
    <x v="2"/>
    <n v="27.484999999999996"/>
    <n v="54.969999999999992"/>
    <x v="0"/>
    <s v="Light"/>
    <x v="1"/>
  </r>
  <r>
    <s v="CVP-18956-553"/>
    <x v="3"/>
    <x v="3"/>
    <s v="L-D-1"/>
    <n v="3"/>
    <x v="3"/>
    <s v=""/>
    <x v="0"/>
    <s v="Lib"/>
    <x v="2"/>
    <x v="0"/>
    <n v="12.95"/>
    <n v="38.849999999999994"/>
    <x v="3"/>
    <s v="Dark"/>
    <x v="1"/>
  </r>
  <r>
    <s v="IPP-31994-879"/>
    <x v="4"/>
    <x v="4"/>
    <s v="E-D-0.5"/>
    <n v="3"/>
    <x v="4"/>
    <s v="slobe6@nifty.com"/>
    <x v="0"/>
    <s v="Exc"/>
    <x v="2"/>
    <x v="1"/>
    <n v="7.29"/>
    <n v="21.87"/>
    <x v="1"/>
    <s v="Dark"/>
    <x v="0"/>
  </r>
  <r>
    <s v="SNZ-65340-705"/>
    <x v="5"/>
    <x v="5"/>
    <s v="L-L-0.2"/>
    <n v="1"/>
    <x v="5"/>
    <s v=""/>
    <x v="1"/>
    <s v="Lib"/>
    <x v="1"/>
    <x v="3"/>
    <n v="4.7549999999999999"/>
    <n v="4.7549999999999999"/>
    <x v="3"/>
    <s v="Light"/>
    <x v="0"/>
  </r>
  <r>
    <s v="EZT-46571-659"/>
    <x v="6"/>
    <x v="6"/>
    <s v="R-M-0.5"/>
    <n v="3"/>
    <x v="6"/>
    <s v="gpetracci8@livejournal.com"/>
    <x v="0"/>
    <s v="Rob"/>
    <x v="0"/>
    <x v="1"/>
    <n v="5.97"/>
    <n v="17.91"/>
    <x v="0"/>
    <s v="Medium"/>
    <x v="1"/>
  </r>
  <r>
    <s v="NWQ-70061-912"/>
    <x v="0"/>
    <x v="7"/>
    <s v="R-M-0.5"/>
    <n v="1"/>
    <x v="7"/>
    <s v="rraven9@ed.gov"/>
    <x v="0"/>
    <s v="Rob"/>
    <x v="0"/>
    <x v="1"/>
    <n v="5.97"/>
    <n v="5.97"/>
    <x v="0"/>
    <s v="Medium"/>
    <x v="1"/>
  </r>
  <r>
    <s v="BKK-47233-845"/>
    <x v="7"/>
    <x v="8"/>
    <s v="A-D-1"/>
    <n v="4"/>
    <x v="8"/>
    <s v="fferbera@businesswire.com"/>
    <x v="0"/>
    <s v="Ara"/>
    <x v="2"/>
    <x v="0"/>
    <n v="9.9499999999999993"/>
    <n v="39.799999999999997"/>
    <x v="2"/>
    <s v="Dark"/>
    <x v="1"/>
  </r>
  <r>
    <s v="VQR-01002-970"/>
    <x v="8"/>
    <x v="9"/>
    <s v="E-L-2.5"/>
    <n v="5"/>
    <x v="9"/>
    <s v="dphizackerlyb@utexas.edu"/>
    <x v="0"/>
    <s v="Exc"/>
    <x v="1"/>
    <x v="2"/>
    <n v="34.154999999999994"/>
    <n v="170.77499999999998"/>
    <x v="1"/>
    <s v="Light"/>
    <x v="0"/>
  </r>
  <r>
    <s v="SZW-48378-399"/>
    <x v="9"/>
    <x v="10"/>
    <s v="R-M-1"/>
    <n v="5"/>
    <x v="10"/>
    <s v="rscholarc@nyu.edu"/>
    <x v="0"/>
    <s v="Rob"/>
    <x v="0"/>
    <x v="0"/>
    <n v="9.9499999999999993"/>
    <n v="49.75"/>
    <x v="0"/>
    <s v="Medium"/>
    <x v="1"/>
  </r>
  <r>
    <s v="ITA-87418-783"/>
    <x v="10"/>
    <x v="11"/>
    <s v="R-D-2.5"/>
    <n v="2"/>
    <x v="11"/>
    <s v="tvanyutind@wix.com"/>
    <x v="0"/>
    <s v="Rob"/>
    <x v="2"/>
    <x v="2"/>
    <n v="20.584999999999997"/>
    <n v="41.169999999999995"/>
    <x v="0"/>
    <s v="Dark"/>
    <x v="1"/>
  </r>
  <r>
    <s v="GNZ-46006-527"/>
    <x v="11"/>
    <x v="12"/>
    <s v="L-D-0.2"/>
    <n v="3"/>
    <x v="12"/>
    <s v="ptrobee@wunderground.com"/>
    <x v="0"/>
    <s v="Lib"/>
    <x v="2"/>
    <x v="3"/>
    <n v="3.8849999999999998"/>
    <n v="11.654999999999999"/>
    <x v="3"/>
    <s v="Dark"/>
    <x v="0"/>
  </r>
  <r>
    <s v="FYQ-78248-319"/>
    <x v="12"/>
    <x v="13"/>
    <s v="R-M-2.5"/>
    <n v="5"/>
    <x v="13"/>
    <s v="loscroftf@ebay.co.uk"/>
    <x v="0"/>
    <s v="Rob"/>
    <x v="0"/>
    <x v="2"/>
    <n v="22.884999999999998"/>
    <n v="114.42499999999998"/>
    <x v="0"/>
    <s v="Medium"/>
    <x v="1"/>
  </r>
  <r>
    <s v="VAU-44387-624"/>
    <x v="13"/>
    <x v="14"/>
    <s v="A-M-0.2"/>
    <n v="6"/>
    <x v="14"/>
    <s v="malabasterg@hexun.com"/>
    <x v="0"/>
    <s v="Ara"/>
    <x v="0"/>
    <x v="3"/>
    <n v="3.375"/>
    <n v="20.25"/>
    <x v="2"/>
    <s v="Medium"/>
    <x v="1"/>
  </r>
  <r>
    <s v="RDW-33155-159"/>
    <x v="14"/>
    <x v="15"/>
    <s v="A-L-1"/>
    <n v="6"/>
    <x v="15"/>
    <s v="rbroxuph@jimdo.com"/>
    <x v="0"/>
    <s v="Ara"/>
    <x v="1"/>
    <x v="0"/>
    <n v="12.95"/>
    <n v="77.699999999999989"/>
    <x v="2"/>
    <s v="Light"/>
    <x v="1"/>
  </r>
  <r>
    <s v="TDZ-59011-211"/>
    <x v="15"/>
    <x v="16"/>
    <s v="R-D-2.5"/>
    <n v="4"/>
    <x v="16"/>
    <s v="predfordi@ow.ly"/>
    <x v="1"/>
    <s v="Rob"/>
    <x v="2"/>
    <x v="2"/>
    <n v="20.584999999999997"/>
    <n v="82.339999999999989"/>
    <x v="0"/>
    <s v="Dark"/>
    <x v="0"/>
  </r>
  <r>
    <s v="IDU-25793-399"/>
    <x v="16"/>
    <x v="17"/>
    <s v="A-M-0.2"/>
    <n v="5"/>
    <x v="17"/>
    <s v="acorradinoj@harvard.edu"/>
    <x v="0"/>
    <s v="Ara"/>
    <x v="0"/>
    <x v="3"/>
    <n v="3.375"/>
    <n v="16.875"/>
    <x v="2"/>
    <s v="Medium"/>
    <x v="0"/>
  </r>
  <r>
    <s v="IDU-25793-399"/>
    <x v="16"/>
    <x v="17"/>
    <s v="E-D-0.2"/>
    <n v="4"/>
    <x v="17"/>
    <s v="acorradinoj@harvard.edu"/>
    <x v="0"/>
    <s v="Exc"/>
    <x v="2"/>
    <x v="3"/>
    <n v="3.645"/>
    <n v="14.58"/>
    <x v="1"/>
    <s v="Dark"/>
    <x v="0"/>
  </r>
  <r>
    <s v="NUO-20013-488"/>
    <x v="16"/>
    <x v="18"/>
    <s v="A-D-0.2"/>
    <n v="6"/>
    <x v="18"/>
    <s v="adavidowskyl@netvibes.com"/>
    <x v="0"/>
    <s v="Ara"/>
    <x v="2"/>
    <x v="3"/>
    <n v="2.9849999999999999"/>
    <n v="17.91"/>
    <x v="2"/>
    <s v="Dark"/>
    <x v="1"/>
  </r>
  <r>
    <s v="UQU-65630-479"/>
    <x v="17"/>
    <x v="19"/>
    <s v="R-M-2.5"/>
    <n v="4"/>
    <x v="19"/>
    <s v="aantukm@kickstarter.com"/>
    <x v="0"/>
    <s v="Rob"/>
    <x v="0"/>
    <x v="2"/>
    <n v="22.884999999999998"/>
    <n v="91.539999999999992"/>
    <x v="0"/>
    <s v="Medium"/>
    <x v="0"/>
  </r>
  <r>
    <s v="FEO-11834-332"/>
    <x v="18"/>
    <x v="20"/>
    <s v="A-D-0.2"/>
    <n v="4"/>
    <x v="20"/>
    <s v="ikleinertn@timesonline.co.uk"/>
    <x v="0"/>
    <s v="Ara"/>
    <x v="2"/>
    <x v="3"/>
    <n v="2.9849999999999999"/>
    <n v="11.94"/>
    <x v="2"/>
    <s v="Dark"/>
    <x v="0"/>
  </r>
  <r>
    <s v="TKY-71558-096"/>
    <x v="19"/>
    <x v="21"/>
    <s v="A-M-1"/>
    <n v="1"/>
    <x v="21"/>
    <s v="cblofeldo@amazon.co.uk"/>
    <x v="0"/>
    <s v="Ara"/>
    <x v="0"/>
    <x v="0"/>
    <n v="11.25"/>
    <n v="11.25"/>
    <x v="2"/>
    <s v="Medium"/>
    <x v="1"/>
  </r>
  <r>
    <s v="OXY-65322-253"/>
    <x v="20"/>
    <x v="22"/>
    <s v="E-M-0.2"/>
    <n v="3"/>
    <x v="22"/>
    <s v=""/>
    <x v="0"/>
    <s v="Exc"/>
    <x v="0"/>
    <x v="3"/>
    <n v="4.125"/>
    <n v="12.375"/>
    <x v="1"/>
    <s v="Medium"/>
    <x v="0"/>
  </r>
  <r>
    <s v="EVP-43500-491"/>
    <x v="21"/>
    <x v="23"/>
    <s v="A-M-0.5"/>
    <n v="4"/>
    <x v="23"/>
    <s v="sshalesq@umich.edu"/>
    <x v="0"/>
    <s v="Ara"/>
    <x v="0"/>
    <x v="1"/>
    <n v="6.75"/>
    <n v="27"/>
    <x v="2"/>
    <s v="Medium"/>
    <x v="0"/>
  </r>
  <r>
    <s v="WAG-26945-689"/>
    <x v="22"/>
    <x v="24"/>
    <s v="A-M-0.2"/>
    <n v="5"/>
    <x v="24"/>
    <s v="vdanneilr@mtv.com"/>
    <x v="1"/>
    <s v="Ara"/>
    <x v="0"/>
    <x v="3"/>
    <n v="3.375"/>
    <n v="16.875"/>
    <x v="2"/>
    <s v="Medium"/>
    <x v="1"/>
  </r>
  <r>
    <s v="CHE-78995-767"/>
    <x v="23"/>
    <x v="25"/>
    <s v="A-D-0.5"/>
    <n v="3"/>
    <x v="25"/>
    <s v="tnewburys@usda.gov"/>
    <x v="1"/>
    <s v="Ara"/>
    <x v="2"/>
    <x v="1"/>
    <n v="5.97"/>
    <n v="17.91"/>
    <x v="2"/>
    <s v="Dark"/>
    <x v="1"/>
  </r>
  <r>
    <s v="RYZ-14633-602"/>
    <x v="21"/>
    <x v="26"/>
    <s v="A-D-1"/>
    <n v="4"/>
    <x v="26"/>
    <s v="mcalcuttt@baidu.com"/>
    <x v="1"/>
    <s v="Ara"/>
    <x v="2"/>
    <x v="0"/>
    <n v="9.9499999999999993"/>
    <n v="39.799999999999997"/>
    <x v="2"/>
    <s v="Dark"/>
    <x v="0"/>
  </r>
  <r>
    <s v="WOQ-36015-429"/>
    <x v="24"/>
    <x v="27"/>
    <s v="L-M-0.2"/>
    <n v="5"/>
    <x v="27"/>
    <s v=""/>
    <x v="0"/>
    <s v="Lib"/>
    <x v="0"/>
    <x v="3"/>
    <n v="4.3650000000000002"/>
    <n v="21.825000000000003"/>
    <x v="3"/>
    <s v="Medium"/>
    <x v="1"/>
  </r>
  <r>
    <s v="WOQ-36015-429"/>
    <x v="24"/>
    <x v="27"/>
    <s v="A-D-0.5"/>
    <n v="6"/>
    <x v="27"/>
    <s v=""/>
    <x v="0"/>
    <s v="Ara"/>
    <x v="2"/>
    <x v="1"/>
    <n v="5.97"/>
    <n v="35.82"/>
    <x v="2"/>
    <s v="Dark"/>
    <x v="1"/>
  </r>
  <r>
    <s v="WOQ-36015-429"/>
    <x v="24"/>
    <x v="27"/>
    <s v="L-M-0.5"/>
    <n v="6"/>
    <x v="27"/>
    <s v=""/>
    <x v="0"/>
    <s v="Lib"/>
    <x v="0"/>
    <x v="1"/>
    <n v="8.73"/>
    <n v="52.38"/>
    <x v="3"/>
    <s v="Medium"/>
    <x v="1"/>
  </r>
  <r>
    <s v="SCT-60553-454"/>
    <x v="25"/>
    <x v="28"/>
    <s v="L-L-0.2"/>
    <n v="5"/>
    <x v="28"/>
    <s v="ggatheralx@123-reg.co.uk"/>
    <x v="0"/>
    <s v="Lib"/>
    <x v="1"/>
    <x v="3"/>
    <n v="4.7549999999999999"/>
    <n v="23.774999999999999"/>
    <x v="3"/>
    <s v="Light"/>
    <x v="1"/>
  </r>
  <r>
    <s v="GFK-52063-244"/>
    <x v="26"/>
    <x v="29"/>
    <s v="L-L-0.5"/>
    <n v="6"/>
    <x v="29"/>
    <s v="uwelberryy@ebay.co.uk"/>
    <x v="2"/>
    <s v="Lib"/>
    <x v="1"/>
    <x v="1"/>
    <n v="9.51"/>
    <n v="57.06"/>
    <x v="3"/>
    <s v="Light"/>
    <x v="0"/>
  </r>
  <r>
    <s v="AMM-79521-378"/>
    <x v="27"/>
    <x v="30"/>
    <s v="A-D-0.5"/>
    <n v="6"/>
    <x v="30"/>
    <s v="feilhartz@who.int"/>
    <x v="0"/>
    <s v="Ara"/>
    <x v="2"/>
    <x v="1"/>
    <n v="5.97"/>
    <n v="35.82"/>
    <x v="2"/>
    <s v="Dark"/>
    <x v="1"/>
  </r>
  <r>
    <s v="QUQ-90580-772"/>
    <x v="28"/>
    <x v="31"/>
    <s v="L-M-0.2"/>
    <n v="2"/>
    <x v="31"/>
    <s v="zponting10@altervista.org"/>
    <x v="0"/>
    <s v="Lib"/>
    <x v="0"/>
    <x v="3"/>
    <n v="4.3650000000000002"/>
    <n v="8.73"/>
    <x v="3"/>
    <s v="Medium"/>
    <x v="1"/>
  </r>
  <r>
    <s v="LGD-24408-274"/>
    <x v="29"/>
    <x v="32"/>
    <s v="L-L-0.5"/>
    <n v="3"/>
    <x v="32"/>
    <s v="sstrase11@booking.com"/>
    <x v="0"/>
    <s v="Lib"/>
    <x v="1"/>
    <x v="1"/>
    <n v="9.51"/>
    <n v="28.53"/>
    <x v="3"/>
    <s v="Light"/>
    <x v="1"/>
  </r>
  <r>
    <s v="HCT-95608-959"/>
    <x v="30"/>
    <x v="33"/>
    <s v="R-M-2.5"/>
    <n v="5"/>
    <x v="33"/>
    <s v="dde12@unesco.org"/>
    <x v="0"/>
    <s v="Rob"/>
    <x v="0"/>
    <x v="2"/>
    <n v="22.884999999999998"/>
    <n v="114.42499999999998"/>
    <x v="0"/>
    <s v="Medium"/>
    <x v="1"/>
  </r>
  <r>
    <s v="OFX-99147-470"/>
    <x v="31"/>
    <x v="34"/>
    <s v="R-M-1"/>
    <n v="6"/>
    <x v="34"/>
    <s v=""/>
    <x v="0"/>
    <s v="Rob"/>
    <x v="0"/>
    <x v="0"/>
    <n v="9.9499999999999993"/>
    <n v="59.699999999999996"/>
    <x v="0"/>
    <s v="Medium"/>
    <x v="0"/>
  </r>
  <r>
    <s v="LUO-37559-016"/>
    <x v="32"/>
    <x v="35"/>
    <s v="L-M-1"/>
    <n v="3"/>
    <x v="35"/>
    <s v=""/>
    <x v="0"/>
    <s v="Lib"/>
    <x v="0"/>
    <x v="0"/>
    <n v="14.55"/>
    <n v="43.650000000000006"/>
    <x v="3"/>
    <s v="Medium"/>
    <x v="1"/>
  </r>
  <r>
    <s v="XWC-20610-167"/>
    <x v="33"/>
    <x v="36"/>
    <s v="E-D-0.2"/>
    <n v="2"/>
    <x v="36"/>
    <s v="lyeoland15@pbs.org"/>
    <x v="0"/>
    <s v="Exc"/>
    <x v="2"/>
    <x v="3"/>
    <n v="3.645"/>
    <n v="7.29"/>
    <x v="1"/>
    <s v="Dark"/>
    <x v="0"/>
  </r>
  <r>
    <s v="GPU-79113-136"/>
    <x v="34"/>
    <x v="37"/>
    <s v="R-D-0.2"/>
    <n v="3"/>
    <x v="37"/>
    <s v="atolworthy16@toplist.cz"/>
    <x v="0"/>
    <s v="Rob"/>
    <x v="2"/>
    <x v="3"/>
    <n v="2.6849999999999996"/>
    <n v="8.0549999999999997"/>
    <x v="0"/>
    <s v="Dark"/>
    <x v="0"/>
  </r>
  <r>
    <s v="ULR-52653-960"/>
    <x v="35"/>
    <x v="38"/>
    <s v="L-L-2.5"/>
    <n v="2"/>
    <x v="38"/>
    <s v=""/>
    <x v="0"/>
    <s v="Lib"/>
    <x v="1"/>
    <x v="2"/>
    <n v="36.454999999999998"/>
    <n v="72.91"/>
    <x v="3"/>
    <s v="Light"/>
    <x v="1"/>
  </r>
  <r>
    <s v="HPI-42308-142"/>
    <x v="36"/>
    <x v="39"/>
    <s v="E-M-0.5"/>
    <n v="2"/>
    <x v="39"/>
    <s v="obaudassi18@seesaa.net"/>
    <x v="0"/>
    <s v="Exc"/>
    <x v="0"/>
    <x v="1"/>
    <n v="8.25"/>
    <n v="16.5"/>
    <x v="1"/>
    <s v="Medium"/>
    <x v="0"/>
  </r>
  <r>
    <s v="XHI-30227-581"/>
    <x v="37"/>
    <x v="40"/>
    <s v="L-D-2.5"/>
    <n v="6"/>
    <x v="40"/>
    <s v="pkingsbury19@comcast.net"/>
    <x v="0"/>
    <s v="Lib"/>
    <x v="2"/>
    <x v="2"/>
    <n v="29.784999999999997"/>
    <n v="178.70999999999998"/>
    <x v="3"/>
    <s v="Dark"/>
    <x v="1"/>
  </r>
  <r>
    <s v="DJH-05202-380"/>
    <x v="38"/>
    <x v="41"/>
    <s v="E-M-2.5"/>
    <n v="2"/>
    <x v="41"/>
    <s v=""/>
    <x v="0"/>
    <s v="Exc"/>
    <x v="0"/>
    <x v="2"/>
    <n v="31.624999999999996"/>
    <n v="63.249999999999993"/>
    <x v="1"/>
    <s v="Medium"/>
    <x v="0"/>
  </r>
  <r>
    <s v="VMW-26889-781"/>
    <x v="39"/>
    <x v="42"/>
    <s v="A-L-0.2"/>
    <n v="2"/>
    <x v="42"/>
    <s v="acurley1b@hao123.com"/>
    <x v="0"/>
    <s v="Ara"/>
    <x v="1"/>
    <x v="3"/>
    <n v="3.8849999999999998"/>
    <n v="7.77"/>
    <x v="2"/>
    <s v="Light"/>
    <x v="0"/>
  </r>
  <r>
    <s v="DBU-81099-586"/>
    <x v="40"/>
    <x v="43"/>
    <s v="A-D-2.5"/>
    <n v="4"/>
    <x v="43"/>
    <s v="rmcgilvary1c@tamu.edu"/>
    <x v="0"/>
    <s v="Ara"/>
    <x v="2"/>
    <x v="2"/>
    <n v="22.884999999999998"/>
    <n v="91.539999999999992"/>
    <x v="2"/>
    <s v="Dark"/>
    <x v="1"/>
  </r>
  <r>
    <s v="PQA-54820-810"/>
    <x v="41"/>
    <x v="44"/>
    <s v="A-L-1"/>
    <n v="3"/>
    <x v="44"/>
    <s v="ipikett1d@xinhuanet.com"/>
    <x v="0"/>
    <s v="Ara"/>
    <x v="1"/>
    <x v="0"/>
    <n v="12.95"/>
    <n v="38.849999999999994"/>
    <x v="2"/>
    <s v="Light"/>
    <x v="1"/>
  </r>
  <r>
    <s v="XKB-41924-202"/>
    <x v="42"/>
    <x v="45"/>
    <s v="L-D-0.5"/>
    <n v="2"/>
    <x v="45"/>
    <s v="ibouldon1e@gizmodo.com"/>
    <x v="0"/>
    <s v="Lib"/>
    <x v="2"/>
    <x v="1"/>
    <n v="7.77"/>
    <n v="15.54"/>
    <x v="3"/>
    <s v="Dark"/>
    <x v="1"/>
  </r>
  <r>
    <s v="DWZ-69106-473"/>
    <x v="43"/>
    <x v="46"/>
    <s v="L-L-2.5"/>
    <n v="4"/>
    <x v="46"/>
    <s v="kflanders1f@over-blog.com"/>
    <x v="1"/>
    <s v="Lib"/>
    <x v="1"/>
    <x v="2"/>
    <n v="36.454999999999998"/>
    <n v="145.82"/>
    <x v="3"/>
    <s v="Light"/>
    <x v="0"/>
  </r>
  <r>
    <s v="YHV-68700-050"/>
    <x v="44"/>
    <x v="47"/>
    <s v="R-M-0.5"/>
    <n v="5"/>
    <x v="47"/>
    <s v="hmattioli1g@webmd.com"/>
    <x v="2"/>
    <s v="Rob"/>
    <x v="0"/>
    <x v="1"/>
    <n v="5.97"/>
    <n v="29.849999999999998"/>
    <x v="0"/>
    <s v="Medium"/>
    <x v="1"/>
  </r>
  <r>
    <s v="YHV-68700-050"/>
    <x v="44"/>
    <x v="47"/>
    <s v="L-L-2.5"/>
    <n v="2"/>
    <x v="47"/>
    <s v="hmattioli1g@webmd.com"/>
    <x v="2"/>
    <s v="Lib"/>
    <x v="1"/>
    <x v="2"/>
    <n v="36.454999999999998"/>
    <n v="72.91"/>
    <x v="3"/>
    <s v="Light"/>
    <x v="1"/>
  </r>
  <r>
    <s v="KRB-88066-642"/>
    <x v="45"/>
    <x v="48"/>
    <s v="L-M-1"/>
    <n v="5"/>
    <x v="48"/>
    <s v="agillard1i@issuu.com"/>
    <x v="0"/>
    <s v="Lib"/>
    <x v="0"/>
    <x v="0"/>
    <n v="14.55"/>
    <n v="72.75"/>
    <x v="3"/>
    <s v="Medium"/>
    <x v="1"/>
  </r>
  <r>
    <s v="LQU-08404-173"/>
    <x v="46"/>
    <x v="49"/>
    <s v="L-L-1"/>
    <n v="3"/>
    <x v="49"/>
    <s v=""/>
    <x v="0"/>
    <s v="Lib"/>
    <x v="1"/>
    <x v="0"/>
    <n v="15.85"/>
    <n v="47.55"/>
    <x v="3"/>
    <s v="Light"/>
    <x v="1"/>
  </r>
  <r>
    <s v="CWK-60159-881"/>
    <x v="47"/>
    <x v="50"/>
    <s v="E-D-0.2"/>
    <n v="3"/>
    <x v="50"/>
    <s v="tgrizard1k@odnoklassniki.ru"/>
    <x v="0"/>
    <s v="Exc"/>
    <x v="2"/>
    <x v="3"/>
    <n v="3.645"/>
    <n v="10.935"/>
    <x v="1"/>
    <s v="Dark"/>
    <x v="0"/>
  </r>
  <r>
    <s v="EEG-74197-843"/>
    <x v="48"/>
    <x v="51"/>
    <s v="E-L-1"/>
    <n v="4"/>
    <x v="51"/>
    <s v="rrelton1l@stanford.edu"/>
    <x v="0"/>
    <s v="Exc"/>
    <x v="1"/>
    <x v="0"/>
    <n v="14.85"/>
    <n v="59.4"/>
    <x v="1"/>
    <s v="Light"/>
    <x v="1"/>
  </r>
  <r>
    <s v="UCZ-59708-525"/>
    <x v="49"/>
    <x v="52"/>
    <s v="L-D-2.5"/>
    <n v="3"/>
    <x v="52"/>
    <s v=""/>
    <x v="0"/>
    <s v="Lib"/>
    <x v="2"/>
    <x v="2"/>
    <n v="29.784999999999997"/>
    <n v="89.35499999999999"/>
    <x v="3"/>
    <s v="Dark"/>
    <x v="0"/>
  </r>
  <r>
    <s v="HUB-47311-849"/>
    <x v="50"/>
    <x v="53"/>
    <s v="L-M-0.5"/>
    <n v="3"/>
    <x v="53"/>
    <s v="sgilroy1n@eepurl.com"/>
    <x v="0"/>
    <s v="Lib"/>
    <x v="0"/>
    <x v="1"/>
    <n v="8.73"/>
    <n v="26.19"/>
    <x v="3"/>
    <s v="Medium"/>
    <x v="0"/>
  </r>
  <r>
    <s v="WYM-17686-694"/>
    <x v="51"/>
    <x v="54"/>
    <s v="A-D-2.5"/>
    <n v="5"/>
    <x v="54"/>
    <s v="ccottingham1o@wikipedia.org"/>
    <x v="0"/>
    <s v="Ara"/>
    <x v="2"/>
    <x v="2"/>
    <n v="22.884999999999998"/>
    <n v="114.42499999999998"/>
    <x v="2"/>
    <s v="Dark"/>
    <x v="1"/>
  </r>
  <r>
    <s v="ZYQ-15797-695"/>
    <x v="52"/>
    <x v="55"/>
    <s v="R-D-0.5"/>
    <n v="5"/>
    <x v="55"/>
    <s v=""/>
    <x v="2"/>
    <s v="Rob"/>
    <x v="2"/>
    <x v="1"/>
    <n v="5.3699999999999992"/>
    <n v="26.849999999999994"/>
    <x v="0"/>
    <s v="Dark"/>
    <x v="0"/>
  </r>
  <r>
    <s v="EEJ-16185-108"/>
    <x v="53"/>
    <x v="56"/>
    <s v="L-L-0.2"/>
    <n v="5"/>
    <x v="56"/>
    <s v=""/>
    <x v="0"/>
    <s v="Lib"/>
    <x v="1"/>
    <x v="3"/>
    <n v="4.7549999999999999"/>
    <n v="23.774999999999999"/>
    <x v="3"/>
    <s v="Light"/>
    <x v="0"/>
  </r>
  <r>
    <s v="RWR-77888-800"/>
    <x v="54"/>
    <x v="57"/>
    <s v="A-M-0.5"/>
    <n v="1"/>
    <x v="57"/>
    <s v="adykes1r@eventbrite.com"/>
    <x v="0"/>
    <s v="Ara"/>
    <x v="0"/>
    <x v="1"/>
    <n v="6.75"/>
    <n v="6.75"/>
    <x v="2"/>
    <s v="Medium"/>
    <x v="1"/>
  </r>
  <r>
    <s v="LHN-75209-742"/>
    <x v="55"/>
    <x v="58"/>
    <s v="R-M-0.5"/>
    <n v="6"/>
    <x v="58"/>
    <s v=""/>
    <x v="0"/>
    <s v="Rob"/>
    <x v="0"/>
    <x v="1"/>
    <n v="5.97"/>
    <n v="35.82"/>
    <x v="0"/>
    <s v="Medium"/>
    <x v="0"/>
  </r>
  <r>
    <s v="TIR-71396-998"/>
    <x v="56"/>
    <x v="59"/>
    <s v="R-D-2.5"/>
    <n v="4"/>
    <x v="59"/>
    <s v="acockrem1t@engadget.com"/>
    <x v="0"/>
    <s v="Rob"/>
    <x v="2"/>
    <x v="2"/>
    <n v="20.584999999999997"/>
    <n v="82.339999999999989"/>
    <x v="0"/>
    <s v="Dark"/>
    <x v="0"/>
  </r>
  <r>
    <s v="RXF-37618-213"/>
    <x v="57"/>
    <x v="60"/>
    <s v="R-L-0.5"/>
    <n v="1"/>
    <x v="60"/>
    <s v="bumpleby1u@soundcloud.com"/>
    <x v="0"/>
    <s v="Rob"/>
    <x v="1"/>
    <x v="1"/>
    <n v="7.169999999999999"/>
    <n v="7.169999999999999"/>
    <x v="0"/>
    <s v="Light"/>
    <x v="0"/>
  </r>
  <r>
    <s v="ANM-16388-634"/>
    <x v="58"/>
    <x v="61"/>
    <s v="L-L-0.2"/>
    <n v="2"/>
    <x v="61"/>
    <s v="nsaleway1v@dedecms.com"/>
    <x v="0"/>
    <s v="Lib"/>
    <x v="1"/>
    <x v="3"/>
    <n v="4.7549999999999999"/>
    <n v="9.51"/>
    <x v="3"/>
    <s v="Light"/>
    <x v="1"/>
  </r>
  <r>
    <s v="WYL-29300-070"/>
    <x v="59"/>
    <x v="62"/>
    <s v="R-M-0.2"/>
    <n v="1"/>
    <x v="62"/>
    <s v="hgoulter1w@abc.net.au"/>
    <x v="0"/>
    <s v="Rob"/>
    <x v="0"/>
    <x v="3"/>
    <n v="2.9849999999999999"/>
    <n v="2.9849999999999999"/>
    <x v="0"/>
    <s v="Medium"/>
    <x v="1"/>
  </r>
  <r>
    <s v="JHW-74554-805"/>
    <x v="60"/>
    <x v="63"/>
    <s v="R-M-1"/>
    <n v="6"/>
    <x v="63"/>
    <s v="grizzello1x@symantec.com"/>
    <x v="2"/>
    <s v="Rob"/>
    <x v="0"/>
    <x v="0"/>
    <n v="9.9499999999999993"/>
    <n v="59.699999999999996"/>
    <x v="0"/>
    <s v="Medium"/>
    <x v="0"/>
  </r>
  <r>
    <s v="KYS-27063-603"/>
    <x v="61"/>
    <x v="64"/>
    <s v="E-L-2.5"/>
    <n v="4"/>
    <x v="64"/>
    <s v="slist1y@mapquest.com"/>
    <x v="0"/>
    <s v="Exc"/>
    <x v="1"/>
    <x v="2"/>
    <n v="34.154999999999994"/>
    <n v="136.61999999999998"/>
    <x v="1"/>
    <s v="Light"/>
    <x v="1"/>
  </r>
  <r>
    <s v="GAZ-58626-277"/>
    <x v="62"/>
    <x v="65"/>
    <s v="L-L-0.2"/>
    <n v="2"/>
    <x v="65"/>
    <s v="sedmondson1z@theguardian.com"/>
    <x v="1"/>
    <s v="Lib"/>
    <x v="1"/>
    <x v="3"/>
    <n v="4.7549999999999999"/>
    <n v="9.51"/>
    <x v="3"/>
    <s v="Light"/>
    <x v="1"/>
  </r>
  <r>
    <s v="RPJ-37787-335"/>
    <x v="63"/>
    <x v="66"/>
    <s v="A-M-2.5"/>
    <n v="3"/>
    <x v="66"/>
    <s v=""/>
    <x v="0"/>
    <s v="Ara"/>
    <x v="0"/>
    <x v="2"/>
    <n v="25.874999999999996"/>
    <n v="77.624999999999986"/>
    <x v="2"/>
    <s v="Medium"/>
    <x v="1"/>
  </r>
  <r>
    <s v="LEF-83057-763"/>
    <x v="64"/>
    <x v="67"/>
    <s v="L-M-0.2"/>
    <n v="5"/>
    <x v="67"/>
    <s v=""/>
    <x v="0"/>
    <s v="Lib"/>
    <x v="0"/>
    <x v="3"/>
    <n v="4.3650000000000002"/>
    <n v="21.825000000000003"/>
    <x v="3"/>
    <s v="Medium"/>
    <x v="0"/>
  </r>
  <r>
    <s v="RPW-36123-215"/>
    <x v="65"/>
    <x v="68"/>
    <s v="E-L-0.5"/>
    <n v="2"/>
    <x v="68"/>
    <s v="jrangall22@newsvine.com"/>
    <x v="0"/>
    <s v="Exc"/>
    <x v="1"/>
    <x v="1"/>
    <n v="8.91"/>
    <n v="17.82"/>
    <x v="1"/>
    <s v="Light"/>
    <x v="0"/>
  </r>
  <r>
    <s v="WLL-59044-117"/>
    <x v="66"/>
    <x v="69"/>
    <s v="R-D-1"/>
    <n v="6"/>
    <x v="69"/>
    <s v="kboorn23@ezinearticles.com"/>
    <x v="1"/>
    <s v="Rob"/>
    <x v="2"/>
    <x v="0"/>
    <n v="8.9499999999999993"/>
    <n v="53.699999999999996"/>
    <x v="0"/>
    <s v="Dark"/>
    <x v="0"/>
  </r>
  <r>
    <s v="AWT-22827-563"/>
    <x v="67"/>
    <x v="70"/>
    <s v="R-L-0.2"/>
    <n v="1"/>
    <x v="70"/>
    <s v=""/>
    <x v="1"/>
    <s v="Rob"/>
    <x v="1"/>
    <x v="3"/>
    <n v="3.5849999999999995"/>
    <n v="3.5849999999999995"/>
    <x v="0"/>
    <s v="Light"/>
    <x v="0"/>
  </r>
  <r>
    <s v="QLM-07145-668"/>
    <x v="68"/>
    <x v="71"/>
    <s v="E-D-0.2"/>
    <n v="2"/>
    <x v="71"/>
    <s v="celgey25@webs.com"/>
    <x v="0"/>
    <s v="Exc"/>
    <x v="2"/>
    <x v="3"/>
    <n v="3.645"/>
    <n v="7.29"/>
    <x v="1"/>
    <s v="Dark"/>
    <x v="1"/>
  </r>
  <r>
    <s v="HVQ-64398-930"/>
    <x v="69"/>
    <x v="72"/>
    <s v="A-M-0.5"/>
    <n v="6"/>
    <x v="72"/>
    <s v="lmizzi26@rakuten.co.jp"/>
    <x v="0"/>
    <s v="Ara"/>
    <x v="0"/>
    <x v="1"/>
    <n v="6.75"/>
    <n v="40.5"/>
    <x v="2"/>
    <s v="Medium"/>
    <x v="0"/>
  </r>
  <r>
    <s v="WRT-40778-247"/>
    <x v="70"/>
    <x v="73"/>
    <s v="R-L-1"/>
    <n v="4"/>
    <x v="73"/>
    <s v="cgiacomazzo27@jigsy.com"/>
    <x v="0"/>
    <s v="Rob"/>
    <x v="1"/>
    <x v="0"/>
    <n v="11.95"/>
    <n v="47.8"/>
    <x v="0"/>
    <s v="Light"/>
    <x v="1"/>
  </r>
  <r>
    <s v="SUB-13006-125"/>
    <x v="71"/>
    <x v="74"/>
    <s v="A-L-0.5"/>
    <n v="5"/>
    <x v="74"/>
    <s v="aarnow28@arizona.edu"/>
    <x v="0"/>
    <s v="Ara"/>
    <x v="1"/>
    <x v="1"/>
    <n v="7.77"/>
    <n v="38.849999999999994"/>
    <x v="2"/>
    <s v="Light"/>
    <x v="0"/>
  </r>
  <r>
    <s v="CQM-49696-263"/>
    <x v="72"/>
    <x v="75"/>
    <s v="L-L-2.5"/>
    <n v="3"/>
    <x v="75"/>
    <s v="syann29@senate.gov"/>
    <x v="0"/>
    <s v="Lib"/>
    <x v="1"/>
    <x v="2"/>
    <n v="36.454999999999998"/>
    <n v="109.36499999999999"/>
    <x v="3"/>
    <s v="Light"/>
    <x v="0"/>
  </r>
  <r>
    <s v="KXN-85094-246"/>
    <x v="73"/>
    <x v="76"/>
    <s v="L-M-2.5"/>
    <n v="3"/>
    <x v="76"/>
    <s v="bnaulls2a@tiny.cc"/>
    <x v="1"/>
    <s v="Lib"/>
    <x v="0"/>
    <x v="2"/>
    <n v="33.464999999999996"/>
    <n v="100.39499999999998"/>
    <x v="3"/>
    <s v="Medium"/>
    <x v="0"/>
  </r>
  <r>
    <s v="XOQ-12405-419"/>
    <x v="74"/>
    <x v="77"/>
    <s v="R-D-2.5"/>
    <n v="4"/>
    <x v="77"/>
    <s v=""/>
    <x v="0"/>
    <s v="Rob"/>
    <x v="2"/>
    <x v="2"/>
    <n v="20.584999999999997"/>
    <n v="82.339999999999989"/>
    <x v="0"/>
    <s v="Dark"/>
    <x v="0"/>
  </r>
  <r>
    <s v="HYF-10254-369"/>
    <x v="75"/>
    <x v="78"/>
    <s v="L-L-0.5"/>
    <n v="1"/>
    <x v="78"/>
    <s v="zsherewood2c@apache.org"/>
    <x v="0"/>
    <s v="Lib"/>
    <x v="1"/>
    <x v="1"/>
    <n v="9.51"/>
    <n v="9.51"/>
    <x v="3"/>
    <s v="Light"/>
    <x v="1"/>
  </r>
  <r>
    <s v="XXJ-47000-307"/>
    <x v="76"/>
    <x v="79"/>
    <s v="A-L-2.5"/>
    <n v="3"/>
    <x v="79"/>
    <s v="jdufaire2d@fc2.com"/>
    <x v="0"/>
    <s v="Ara"/>
    <x v="1"/>
    <x v="2"/>
    <n v="29.784999999999997"/>
    <n v="89.35499999999999"/>
    <x v="2"/>
    <s v="Light"/>
    <x v="1"/>
  </r>
  <r>
    <s v="XXJ-47000-307"/>
    <x v="76"/>
    <x v="79"/>
    <s v="A-D-0.2"/>
    <n v="4"/>
    <x v="79"/>
    <s v="jdufaire2d@fc2.com"/>
    <x v="0"/>
    <s v="Ara"/>
    <x v="2"/>
    <x v="3"/>
    <n v="2.9849999999999999"/>
    <n v="11.94"/>
    <x v="2"/>
    <s v="Dark"/>
    <x v="1"/>
  </r>
  <r>
    <s v="ZDK-82166-357"/>
    <x v="77"/>
    <x v="80"/>
    <s v="A-M-1"/>
    <n v="3"/>
    <x v="80"/>
    <s v="bkeaveney2f@netlog.com"/>
    <x v="0"/>
    <s v="Ara"/>
    <x v="0"/>
    <x v="0"/>
    <n v="11.25"/>
    <n v="33.75"/>
    <x v="2"/>
    <s v="Medium"/>
    <x v="1"/>
  </r>
  <r>
    <s v="IHN-19982-362"/>
    <x v="78"/>
    <x v="81"/>
    <s v="R-L-1"/>
    <n v="3"/>
    <x v="81"/>
    <s v="egrise2g@cargocollective.com"/>
    <x v="0"/>
    <s v="Rob"/>
    <x v="1"/>
    <x v="0"/>
    <n v="11.95"/>
    <n v="35.849999999999994"/>
    <x v="0"/>
    <s v="Light"/>
    <x v="1"/>
  </r>
  <r>
    <s v="VMT-10030-889"/>
    <x v="79"/>
    <x v="82"/>
    <s v="A-L-1"/>
    <n v="6"/>
    <x v="82"/>
    <s v="tgottelier2h@vistaprint.com"/>
    <x v="0"/>
    <s v="Ara"/>
    <x v="1"/>
    <x v="0"/>
    <n v="12.95"/>
    <n v="77.699999999999989"/>
    <x v="2"/>
    <s v="Light"/>
    <x v="1"/>
  </r>
  <r>
    <s v="NHL-11063-100"/>
    <x v="80"/>
    <x v="83"/>
    <s v="A-L-1"/>
    <n v="4"/>
    <x v="83"/>
    <s v=""/>
    <x v="1"/>
    <s v="Ara"/>
    <x v="1"/>
    <x v="0"/>
    <n v="12.95"/>
    <n v="51.8"/>
    <x v="2"/>
    <s v="Light"/>
    <x v="0"/>
  </r>
  <r>
    <s v="ROV-87448-086"/>
    <x v="81"/>
    <x v="84"/>
    <s v="A-M-2.5"/>
    <n v="4"/>
    <x v="84"/>
    <s v="agreenhead2j@dailymail.co.uk"/>
    <x v="0"/>
    <s v="Ara"/>
    <x v="0"/>
    <x v="2"/>
    <n v="25.874999999999996"/>
    <n v="103.49999999999999"/>
    <x v="2"/>
    <s v="Medium"/>
    <x v="1"/>
  </r>
  <r>
    <s v="DGY-35773-612"/>
    <x v="82"/>
    <x v="85"/>
    <s v="E-L-1"/>
    <n v="3"/>
    <x v="85"/>
    <s v=""/>
    <x v="0"/>
    <s v="Exc"/>
    <x v="1"/>
    <x v="0"/>
    <n v="14.85"/>
    <n v="44.55"/>
    <x v="1"/>
    <s v="Light"/>
    <x v="0"/>
  </r>
  <r>
    <s v="YWH-50638-556"/>
    <x v="83"/>
    <x v="86"/>
    <s v="E-L-0.5"/>
    <n v="4"/>
    <x v="86"/>
    <s v="elangcaster2l@spotify.com"/>
    <x v="2"/>
    <s v="Exc"/>
    <x v="1"/>
    <x v="1"/>
    <n v="8.91"/>
    <n v="35.64"/>
    <x v="1"/>
    <s v="Light"/>
    <x v="0"/>
  </r>
  <r>
    <s v="ISL-11200-600"/>
    <x v="84"/>
    <x v="87"/>
    <s v="A-D-0.2"/>
    <n v="6"/>
    <x v="87"/>
    <s v=""/>
    <x v="1"/>
    <s v="Ara"/>
    <x v="2"/>
    <x v="3"/>
    <n v="2.9849999999999999"/>
    <n v="17.91"/>
    <x v="2"/>
    <s v="Dark"/>
    <x v="0"/>
  </r>
  <r>
    <s v="LBZ-75997-047"/>
    <x v="85"/>
    <x v="88"/>
    <s v="A-M-2.5"/>
    <n v="6"/>
    <x v="88"/>
    <s v="nmagauran2n@51.la"/>
    <x v="0"/>
    <s v="Ara"/>
    <x v="0"/>
    <x v="2"/>
    <n v="25.874999999999996"/>
    <n v="155.24999999999997"/>
    <x v="2"/>
    <s v="Medium"/>
    <x v="1"/>
  </r>
  <r>
    <s v="EUH-08089-954"/>
    <x v="86"/>
    <x v="89"/>
    <s v="A-D-0.2"/>
    <n v="2"/>
    <x v="89"/>
    <s v="vkirdsch2o@google.fr"/>
    <x v="0"/>
    <s v="Ara"/>
    <x v="2"/>
    <x v="3"/>
    <n v="2.9849999999999999"/>
    <n v="5.97"/>
    <x v="2"/>
    <s v="Dark"/>
    <x v="1"/>
  </r>
  <r>
    <s v="BLD-12227-251"/>
    <x v="87"/>
    <x v="90"/>
    <s v="A-M-0.5"/>
    <n v="2"/>
    <x v="90"/>
    <s v="iwhapple2p@com.com"/>
    <x v="0"/>
    <s v="Ara"/>
    <x v="0"/>
    <x v="1"/>
    <n v="6.75"/>
    <n v="13.5"/>
    <x v="2"/>
    <s v="Medium"/>
    <x v="1"/>
  </r>
  <r>
    <s v="OPY-30711-853"/>
    <x v="25"/>
    <x v="91"/>
    <s v="A-D-0.2"/>
    <n v="1"/>
    <x v="91"/>
    <s v=""/>
    <x v="1"/>
    <s v="Ara"/>
    <x v="2"/>
    <x v="3"/>
    <n v="2.9849999999999999"/>
    <n v="2.9849999999999999"/>
    <x v="2"/>
    <s v="Dark"/>
    <x v="1"/>
  </r>
  <r>
    <s v="DBC-44122-300"/>
    <x v="88"/>
    <x v="92"/>
    <s v="L-M-0.2"/>
    <n v="3"/>
    <x v="92"/>
    <s v=""/>
    <x v="0"/>
    <s v="Lib"/>
    <x v="0"/>
    <x v="3"/>
    <n v="4.3650000000000002"/>
    <n v="13.095000000000001"/>
    <x v="3"/>
    <s v="Medium"/>
    <x v="0"/>
  </r>
  <r>
    <s v="FJQ-60035-234"/>
    <x v="89"/>
    <x v="93"/>
    <s v="A-L-0.2"/>
    <n v="2"/>
    <x v="93"/>
    <s v=""/>
    <x v="0"/>
    <s v="Ara"/>
    <x v="1"/>
    <x v="3"/>
    <n v="3.8849999999999998"/>
    <n v="7.77"/>
    <x v="2"/>
    <s v="Light"/>
    <x v="0"/>
  </r>
  <r>
    <s v="HSF-66926-425"/>
    <x v="90"/>
    <x v="94"/>
    <s v="L-D-2.5"/>
    <n v="5"/>
    <x v="94"/>
    <s v="nyoules2t@reference.com"/>
    <x v="1"/>
    <s v="Lib"/>
    <x v="2"/>
    <x v="2"/>
    <n v="29.784999999999997"/>
    <n v="148.92499999999998"/>
    <x v="3"/>
    <s v="Dark"/>
    <x v="0"/>
  </r>
  <r>
    <s v="LQG-41416-375"/>
    <x v="91"/>
    <x v="95"/>
    <s v="L-D-1"/>
    <n v="3"/>
    <x v="95"/>
    <s v="daizikovitz2u@answers.com"/>
    <x v="1"/>
    <s v="Lib"/>
    <x v="2"/>
    <x v="0"/>
    <n v="12.95"/>
    <n v="38.849999999999994"/>
    <x v="3"/>
    <s v="Dark"/>
    <x v="0"/>
  </r>
  <r>
    <s v="VZO-97265-841"/>
    <x v="92"/>
    <x v="96"/>
    <s v="R-M-0.2"/>
    <n v="4"/>
    <x v="96"/>
    <s v="brevel2v@fastcompany.com"/>
    <x v="0"/>
    <s v="Rob"/>
    <x v="0"/>
    <x v="3"/>
    <n v="2.9849999999999999"/>
    <n v="11.94"/>
    <x v="0"/>
    <s v="Medium"/>
    <x v="1"/>
  </r>
  <r>
    <s v="MOR-12987-399"/>
    <x v="93"/>
    <x v="97"/>
    <s v="L-M-1"/>
    <n v="6"/>
    <x v="97"/>
    <s v="epriddis2w@nationalgeographic.com"/>
    <x v="0"/>
    <s v="Lib"/>
    <x v="0"/>
    <x v="0"/>
    <n v="14.55"/>
    <n v="87.300000000000011"/>
    <x v="3"/>
    <s v="Medium"/>
    <x v="1"/>
  </r>
  <r>
    <s v="UOA-23786-489"/>
    <x v="94"/>
    <x v="98"/>
    <s v="A-M-0.5"/>
    <n v="6"/>
    <x v="98"/>
    <s v="qveel2x@jugem.jp"/>
    <x v="0"/>
    <s v="Ara"/>
    <x v="0"/>
    <x v="1"/>
    <n v="6.75"/>
    <n v="40.5"/>
    <x v="2"/>
    <s v="Medium"/>
    <x v="0"/>
  </r>
  <r>
    <s v="AJL-52941-018"/>
    <x v="95"/>
    <x v="99"/>
    <s v="E-D-1"/>
    <n v="2"/>
    <x v="99"/>
    <s v="lconyers2y@twitter.com"/>
    <x v="0"/>
    <s v="Exc"/>
    <x v="2"/>
    <x v="0"/>
    <n v="12.15"/>
    <n v="24.3"/>
    <x v="1"/>
    <s v="Dark"/>
    <x v="1"/>
  </r>
  <r>
    <s v="XSZ-84273-421"/>
    <x v="96"/>
    <x v="100"/>
    <s v="R-M-0.5"/>
    <n v="3"/>
    <x v="100"/>
    <s v="pwye2z@dagondesign.com"/>
    <x v="0"/>
    <s v="Rob"/>
    <x v="0"/>
    <x v="1"/>
    <n v="5.97"/>
    <n v="17.91"/>
    <x v="0"/>
    <s v="Medium"/>
    <x v="0"/>
  </r>
  <r>
    <s v="NUN-48214-216"/>
    <x v="97"/>
    <x v="101"/>
    <s v="A-M-0.5"/>
    <n v="4"/>
    <x v="101"/>
    <s v=""/>
    <x v="0"/>
    <s v="Ara"/>
    <x v="0"/>
    <x v="1"/>
    <n v="6.75"/>
    <n v="27"/>
    <x v="2"/>
    <s v="Medium"/>
    <x v="1"/>
  </r>
  <r>
    <s v="AKV-93064-769"/>
    <x v="98"/>
    <x v="102"/>
    <s v="L-D-0.5"/>
    <n v="1"/>
    <x v="102"/>
    <s v="tsheryn31@mtv.com"/>
    <x v="0"/>
    <s v="Lib"/>
    <x v="2"/>
    <x v="1"/>
    <n v="7.77"/>
    <n v="7.77"/>
    <x v="3"/>
    <s v="Dark"/>
    <x v="0"/>
  </r>
  <r>
    <s v="BRB-40903-533"/>
    <x v="99"/>
    <x v="103"/>
    <s v="E-L-0.2"/>
    <n v="3"/>
    <x v="103"/>
    <s v="mredgrave32@cargocollective.com"/>
    <x v="0"/>
    <s v="Exc"/>
    <x v="1"/>
    <x v="3"/>
    <n v="4.4550000000000001"/>
    <n v="13.365"/>
    <x v="1"/>
    <s v="Light"/>
    <x v="0"/>
  </r>
  <r>
    <s v="GPR-19973-483"/>
    <x v="100"/>
    <x v="104"/>
    <s v="R-D-0.5"/>
    <n v="5"/>
    <x v="104"/>
    <s v="bfominov33@yale.edu"/>
    <x v="0"/>
    <s v="Rob"/>
    <x v="2"/>
    <x v="1"/>
    <n v="5.3699999999999992"/>
    <n v="26.849999999999994"/>
    <x v="0"/>
    <s v="Dark"/>
    <x v="1"/>
  </r>
  <r>
    <s v="XIY-43041-882"/>
    <x v="101"/>
    <x v="105"/>
    <s v="A-M-1"/>
    <n v="1"/>
    <x v="105"/>
    <s v="scritchlow34@un.org"/>
    <x v="0"/>
    <s v="Ara"/>
    <x v="0"/>
    <x v="0"/>
    <n v="11.25"/>
    <n v="11.25"/>
    <x v="2"/>
    <s v="Medium"/>
    <x v="1"/>
  </r>
  <r>
    <s v="YGY-98425-969"/>
    <x v="102"/>
    <x v="106"/>
    <s v="L-M-1"/>
    <n v="1"/>
    <x v="106"/>
    <s v="msteptow35@earthlink.net"/>
    <x v="1"/>
    <s v="Lib"/>
    <x v="0"/>
    <x v="0"/>
    <n v="14.55"/>
    <n v="14.55"/>
    <x v="3"/>
    <s v="Medium"/>
    <x v="1"/>
  </r>
  <r>
    <s v="MSB-08397-648"/>
    <x v="103"/>
    <x v="107"/>
    <s v="R-L-0.2"/>
    <n v="4"/>
    <x v="107"/>
    <s v=""/>
    <x v="0"/>
    <s v="Rob"/>
    <x v="1"/>
    <x v="3"/>
    <n v="3.5849999999999995"/>
    <n v="14.339999999999998"/>
    <x v="0"/>
    <s v="Light"/>
    <x v="1"/>
  </r>
  <r>
    <s v="WDR-06028-345"/>
    <x v="104"/>
    <x v="108"/>
    <s v="L-L-1"/>
    <n v="1"/>
    <x v="108"/>
    <s v="imulliner37@pinterest.com"/>
    <x v="2"/>
    <s v="Lib"/>
    <x v="1"/>
    <x v="0"/>
    <n v="15.85"/>
    <n v="15.85"/>
    <x v="3"/>
    <s v="Light"/>
    <x v="1"/>
  </r>
  <r>
    <s v="MXM-42948-061"/>
    <x v="105"/>
    <x v="109"/>
    <s v="L-L-0.2"/>
    <n v="4"/>
    <x v="109"/>
    <s v="gstandley38@dion.ne.jp"/>
    <x v="1"/>
    <s v="Lib"/>
    <x v="1"/>
    <x v="3"/>
    <n v="4.7549999999999999"/>
    <n v="19.02"/>
    <x v="3"/>
    <s v="Light"/>
    <x v="0"/>
  </r>
  <r>
    <s v="MGQ-98961-173"/>
    <x v="11"/>
    <x v="110"/>
    <s v="L-L-0.5"/>
    <n v="4"/>
    <x v="110"/>
    <s v="bdrage39@youku.com"/>
    <x v="0"/>
    <s v="Lib"/>
    <x v="1"/>
    <x v="1"/>
    <n v="9.51"/>
    <n v="38.04"/>
    <x v="3"/>
    <s v="Light"/>
    <x v="1"/>
  </r>
  <r>
    <s v="RFH-64349-897"/>
    <x v="106"/>
    <x v="111"/>
    <s v="E-D-0.5"/>
    <n v="3"/>
    <x v="111"/>
    <s v="myallop3a@fema.gov"/>
    <x v="0"/>
    <s v="Exc"/>
    <x v="2"/>
    <x v="1"/>
    <n v="7.29"/>
    <n v="21.87"/>
    <x v="1"/>
    <s v="Dark"/>
    <x v="0"/>
  </r>
  <r>
    <s v="TKL-20738-660"/>
    <x v="107"/>
    <x v="112"/>
    <s v="E-M-0.2"/>
    <n v="1"/>
    <x v="112"/>
    <s v="cswitsur3b@chronoengine.com"/>
    <x v="0"/>
    <s v="Exc"/>
    <x v="0"/>
    <x v="3"/>
    <n v="4.125"/>
    <n v="4.125"/>
    <x v="1"/>
    <s v="Medium"/>
    <x v="1"/>
  </r>
  <r>
    <s v="TKL-20738-660"/>
    <x v="107"/>
    <x v="112"/>
    <s v="A-L-0.2"/>
    <n v="1"/>
    <x v="112"/>
    <s v="cswitsur3b@chronoengine.com"/>
    <x v="0"/>
    <s v="Ara"/>
    <x v="1"/>
    <x v="3"/>
    <n v="3.8849999999999998"/>
    <n v="3.8849999999999998"/>
    <x v="2"/>
    <s v="Light"/>
    <x v="1"/>
  </r>
  <r>
    <s v="TKL-20738-660"/>
    <x v="107"/>
    <x v="112"/>
    <s v="E-M-1"/>
    <n v="5"/>
    <x v="112"/>
    <s v="cswitsur3b@chronoengine.com"/>
    <x v="0"/>
    <s v="Exc"/>
    <x v="0"/>
    <x v="0"/>
    <n v="13.75"/>
    <n v="68.75"/>
    <x v="1"/>
    <s v="Medium"/>
    <x v="1"/>
  </r>
  <r>
    <s v="GOW-03198-575"/>
    <x v="108"/>
    <x v="113"/>
    <s v="A-D-0.5"/>
    <n v="4"/>
    <x v="113"/>
    <s v="mludwell3e@blogger.com"/>
    <x v="0"/>
    <s v="Ara"/>
    <x v="2"/>
    <x v="1"/>
    <n v="5.97"/>
    <n v="23.88"/>
    <x v="2"/>
    <s v="Dark"/>
    <x v="0"/>
  </r>
  <r>
    <s v="QJB-90477-635"/>
    <x v="109"/>
    <x v="114"/>
    <s v="L-L-2.5"/>
    <n v="4"/>
    <x v="114"/>
    <s v="dbeauchamp3f@usda.gov"/>
    <x v="0"/>
    <s v="Lib"/>
    <x v="1"/>
    <x v="2"/>
    <n v="36.454999999999998"/>
    <n v="145.82"/>
    <x v="3"/>
    <s v="Light"/>
    <x v="1"/>
  </r>
  <r>
    <s v="MWP-46239-785"/>
    <x v="110"/>
    <x v="115"/>
    <s v="L-M-0.2"/>
    <n v="5"/>
    <x v="115"/>
    <s v="srodliff3g@ted.com"/>
    <x v="0"/>
    <s v="Lib"/>
    <x v="0"/>
    <x v="3"/>
    <n v="4.3650000000000002"/>
    <n v="21.825000000000003"/>
    <x v="3"/>
    <s v="Medium"/>
    <x v="0"/>
  </r>
  <r>
    <s v="QDV-03406-248"/>
    <x v="111"/>
    <x v="116"/>
    <s v="L-M-0.5"/>
    <n v="3"/>
    <x v="116"/>
    <s v="swoodham3h@businesswire.com"/>
    <x v="1"/>
    <s v="Lib"/>
    <x v="0"/>
    <x v="1"/>
    <n v="8.73"/>
    <n v="26.19"/>
    <x v="3"/>
    <s v="Medium"/>
    <x v="0"/>
  </r>
  <r>
    <s v="GPH-40635-105"/>
    <x v="112"/>
    <x v="117"/>
    <s v="A-M-1"/>
    <n v="1"/>
    <x v="117"/>
    <s v="hsynnot3i@about.com"/>
    <x v="0"/>
    <s v="Ara"/>
    <x v="0"/>
    <x v="0"/>
    <n v="11.25"/>
    <n v="11.25"/>
    <x v="2"/>
    <s v="Medium"/>
    <x v="1"/>
  </r>
  <r>
    <s v="JOM-80930-071"/>
    <x v="113"/>
    <x v="118"/>
    <s v="L-D-1"/>
    <n v="6"/>
    <x v="118"/>
    <s v="rlepere3j@shop-pro.jp"/>
    <x v="1"/>
    <s v="Lib"/>
    <x v="2"/>
    <x v="0"/>
    <n v="12.95"/>
    <n v="77.699999999999989"/>
    <x v="3"/>
    <s v="Dark"/>
    <x v="1"/>
  </r>
  <r>
    <s v="OIL-26493-755"/>
    <x v="114"/>
    <x v="119"/>
    <s v="A-M-0.5"/>
    <n v="1"/>
    <x v="119"/>
    <s v="twoofinden3k@businesswire.com"/>
    <x v="0"/>
    <s v="Ara"/>
    <x v="0"/>
    <x v="1"/>
    <n v="6.75"/>
    <n v="6.75"/>
    <x v="2"/>
    <s v="Medium"/>
    <x v="1"/>
  </r>
  <r>
    <s v="CYV-13426-645"/>
    <x v="115"/>
    <x v="120"/>
    <s v="E-D-1"/>
    <n v="1"/>
    <x v="120"/>
    <s v="edacca3l@google.pl"/>
    <x v="0"/>
    <s v="Exc"/>
    <x v="2"/>
    <x v="0"/>
    <n v="12.15"/>
    <n v="12.15"/>
    <x v="1"/>
    <s v="Dark"/>
    <x v="0"/>
  </r>
  <r>
    <s v="WRP-39846-614"/>
    <x v="49"/>
    <x v="121"/>
    <s v="A-L-2.5"/>
    <n v="5"/>
    <x v="121"/>
    <s v=""/>
    <x v="1"/>
    <s v="Ara"/>
    <x v="1"/>
    <x v="2"/>
    <n v="29.784999999999997"/>
    <n v="148.92499999999998"/>
    <x v="2"/>
    <s v="Light"/>
    <x v="0"/>
  </r>
  <r>
    <s v="VDZ-76673-968"/>
    <x v="116"/>
    <x v="122"/>
    <s v="E-D-0.5"/>
    <n v="2"/>
    <x v="122"/>
    <s v="bhindsberg3n@blogs.com"/>
    <x v="0"/>
    <s v="Exc"/>
    <x v="2"/>
    <x v="1"/>
    <n v="7.29"/>
    <n v="14.58"/>
    <x v="1"/>
    <s v="Dark"/>
    <x v="0"/>
  </r>
  <r>
    <s v="VTV-03546-175"/>
    <x v="117"/>
    <x v="123"/>
    <s v="A-L-2.5"/>
    <n v="5"/>
    <x v="123"/>
    <s v="orobins3o@salon.com"/>
    <x v="0"/>
    <s v="Ara"/>
    <x v="1"/>
    <x v="2"/>
    <n v="29.784999999999997"/>
    <n v="148.92499999999998"/>
    <x v="2"/>
    <s v="Light"/>
    <x v="0"/>
  </r>
  <r>
    <s v="GHR-72274-715"/>
    <x v="118"/>
    <x v="124"/>
    <s v="L-D-1"/>
    <n v="1"/>
    <x v="124"/>
    <s v="osyseland3p@independent.co.uk"/>
    <x v="0"/>
    <s v="Lib"/>
    <x v="2"/>
    <x v="0"/>
    <n v="12.95"/>
    <n v="12.95"/>
    <x v="3"/>
    <s v="Dark"/>
    <x v="1"/>
  </r>
  <r>
    <s v="ZGK-97262-313"/>
    <x v="119"/>
    <x v="125"/>
    <s v="E-M-2.5"/>
    <n v="3"/>
    <x v="125"/>
    <s v=""/>
    <x v="0"/>
    <s v="Exc"/>
    <x v="0"/>
    <x v="2"/>
    <n v="31.624999999999996"/>
    <n v="94.874999999999986"/>
    <x v="1"/>
    <s v="Medium"/>
    <x v="0"/>
  </r>
  <r>
    <s v="ZFS-30776-804"/>
    <x v="120"/>
    <x v="126"/>
    <s v="A-L-0.5"/>
    <n v="5"/>
    <x v="126"/>
    <s v="bmcamish2e@tripadvisor.com"/>
    <x v="0"/>
    <s v="Ara"/>
    <x v="1"/>
    <x v="1"/>
    <n v="7.77"/>
    <n v="38.849999999999994"/>
    <x v="2"/>
    <s v="Light"/>
    <x v="0"/>
  </r>
  <r>
    <s v="QUU-91729-492"/>
    <x v="121"/>
    <x v="127"/>
    <s v="A-D-0.2"/>
    <n v="4"/>
    <x v="127"/>
    <s v="lkeenleyside3s@topsy.com"/>
    <x v="0"/>
    <s v="Ara"/>
    <x v="2"/>
    <x v="3"/>
    <n v="2.9849999999999999"/>
    <n v="11.94"/>
    <x v="2"/>
    <s v="Dark"/>
    <x v="1"/>
  </r>
  <r>
    <s v="PVI-72795-960"/>
    <x v="122"/>
    <x v="128"/>
    <s v="E-L-2.5"/>
    <n v="3"/>
    <x v="128"/>
    <s v=""/>
    <x v="1"/>
    <s v="Exc"/>
    <x v="1"/>
    <x v="2"/>
    <n v="34.154999999999994"/>
    <n v="102.46499999999997"/>
    <x v="1"/>
    <s v="Light"/>
    <x v="1"/>
  </r>
  <r>
    <s v="PPP-78935-365"/>
    <x v="123"/>
    <x v="129"/>
    <s v="E-D-1"/>
    <n v="4"/>
    <x v="129"/>
    <s v=""/>
    <x v="0"/>
    <s v="Exc"/>
    <x v="2"/>
    <x v="0"/>
    <n v="12.15"/>
    <n v="48.6"/>
    <x v="1"/>
    <s v="Dark"/>
    <x v="1"/>
  </r>
  <r>
    <s v="JUO-34131-517"/>
    <x v="124"/>
    <x v="130"/>
    <s v="L-D-1"/>
    <n v="6"/>
    <x v="130"/>
    <s v=""/>
    <x v="0"/>
    <s v="Lib"/>
    <x v="2"/>
    <x v="0"/>
    <n v="12.95"/>
    <n v="77.699999999999989"/>
    <x v="3"/>
    <s v="Dark"/>
    <x v="0"/>
  </r>
  <r>
    <s v="ZJE-89333-489"/>
    <x v="125"/>
    <x v="131"/>
    <s v="L-D-2.5"/>
    <n v="1"/>
    <x v="131"/>
    <s v="vkundt3w@bigcartel.com"/>
    <x v="1"/>
    <s v="Lib"/>
    <x v="2"/>
    <x v="2"/>
    <n v="29.784999999999997"/>
    <n v="29.784999999999997"/>
    <x v="3"/>
    <s v="Dark"/>
    <x v="0"/>
  </r>
  <r>
    <s v="LOO-35324-159"/>
    <x v="126"/>
    <x v="132"/>
    <s v="A-L-0.2"/>
    <n v="4"/>
    <x v="132"/>
    <s v="bbett3x@google.de"/>
    <x v="0"/>
    <s v="Ara"/>
    <x v="1"/>
    <x v="3"/>
    <n v="3.8849999999999998"/>
    <n v="15.54"/>
    <x v="2"/>
    <s v="Light"/>
    <x v="0"/>
  </r>
  <r>
    <s v="JBQ-93412-846"/>
    <x v="127"/>
    <x v="133"/>
    <s v="E-L-2.5"/>
    <n v="4"/>
    <x v="133"/>
    <s v=""/>
    <x v="1"/>
    <s v="Exc"/>
    <x v="1"/>
    <x v="2"/>
    <n v="34.154999999999994"/>
    <n v="136.61999999999998"/>
    <x v="1"/>
    <s v="Light"/>
    <x v="0"/>
  </r>
  <r>
    <s v="EHX-66333-637"/>
    <x v="128"/>
    <x v="134"/>
    <s v="L-M-0.5"/>
    <n v="2"/>
    <x v="134"/>
    <s v="dstaite3z@scientificamerican.com"/>
    <x v="0"/>
    <s v="Lib"/>
    <x v="0"/>
    <x v="1"/>
    <n v="8.73"/>
    <n v="17.46"/>
    <x v="3"/>
    <s v="Medium"/>
    <x v="1"/>
  </r>
  <r>
    <s v="WXG-25759-236"/>
    <x v="103"/>
    <x v="135"/>
    <s v="E-L-2.5"/>
    <n v="2"/>
    <x v="135"/>
    <s v="wkeyse40@apple.com"/>
    <x v="0"/>
    <s v="Exc"/>
    <x v="1"/>
    <x v="2"/>
    <n v="34.154999999999994"/>
    <n v="68.309999999999988"/>
    <x v="1"/>
    <s v="Light"/>
    <x v="0"/>
  </r>
  <r>
    <s v="QNA-31113-984"/>
    <x v="129"/>
    <x v="136"/>
    <s v="L-M-0.2"/>
    <n v="4"/>
    <x v="136"/>
    <s v="oclausenthue41@marriott.com"/>
    <x v="0"/>
    <s v="Lib"/>
    <x v="0"/>
    <x v="3"/>
    <n v="4.3650000000000002"/>
    <n v="17.46"/>
    <x v="3"/>
    <s v="Medium"/>
    <x v="1"/>
  </r>
  <r>
    <s v="ZWI-52029-159"/>
    <x v="130"/>
    <x v="137"/>
    <s v="L-M-1"/>
    <n v="3"/>
    <x v="137"/>
    <s v="lfrancisco42@fema.gov"/>
    <x v="0"/>
    <s v="Lib"/>
    <x v="0"/>
    <x v="0"/>
    <n v="14.55"/>
    <n v="43.650000000000006"/>
    <x v="3"/>
    <s v="Medium"/>
    <x v="1"/>
  </r>
  <r>
    <s v="ZWI-52029-159"/>
    <x v="130"/>
    <x v="137"/>
    <s v="E-M-1"/>
    <n v="2"/>
    <x v="137"/>
    <s v="lfrancisco42@fema.gov"/>
    <x v="0"/>
    <s v="Exc"/>
    <x v="0"/>
    <x v="0"/>
    <n v="13.75"/>
    <n v="27.5"/>
    <x v="1"/>
    <s v="Medium"/>
    <x v="1"/>
  </r>
  <r>
    <s v="DFS-49954-707"/>
    <x v="131"/>
    <x v="138"/>
    <s v="E-D-0.2"/>
    <n v="5"/>
    <x v="138"/>
    <s v="gskingle44@clickbank.net"/>
    <x v="0"/>
    <s v="Exc"/>
    <x v="2"/>
    <x v="3"/>
    <n v="3.645"/>
    <n v="18.225000000000001"/>
    <x v="1"/>
    <s v="Dark"/>
    <x v="0"/>
  </r>
  <r>
    <s v="VYP-89830-878"/>
    <x v="132"/>
    <x v="139"/>
    <s v="A-M-2.5"/>
    <n v="2"/>
    <x v="139"/>
    <s v=""/>
    <x v="0"/>
    <s v="Ara"/>
    <x v="0"/>
    <x v="2"/>
    <n v="25.874999999999996"/>
    <n v="51.749999999999993"/>
    <x v="2"/>
    <s v="Medium"/>
    <x v="0"/>
  </r>
  <r>
    <s v="AMT-40418-362"/>
    <x v="133"/>
    <x v="140"/>
    <s v="L-D-1"/>
    <n v="1"/>
    <x v="140"/>
    <s v="jbalsillie46@princeton.edu"/>
    <x v="0"/>
    <s v="Lib"/>
    <x v="2"/>
    <x v="0"/>
    <n v="12.95"/>
    <n v="12.95"/>
    <x v="3"/>
    <s v="Dark"/>
    <x v="0"/>
  </r>
  <r>
    <s v="NFQ-23241-793"/>
    <x v="134"/>
    <x v="141"/>
    <s v="A-M-1"/>
    <n v="3"/>
    <x v="141"/>
    <s v=""/>
    <x v="0"/>
    <s v="Ara"/>
    <x v="0"/>
    <x v="0"/>
    <n v="11.25"/>
    <n v="33.75"/>
    <x v="2"/>
    <s v="Medium"/>
    <x v="0"/>
  </r>
  <r>
    <s v="JQK-64922-985"/>
    <x v="113"/>
    <x v="142"/>
    <s v="R-M-2.5"/>
    <n v="3"/>
    <x v="142"/>
    <s v="bleffek48@ning.com"/>
    <x v="0"/>
    <s v="Rob"/>
    <x v="0"/>
    <x v="2"/>
    <n v="22.884999999999998"/>
    <n v="68.655000000000001"/>
    <x v="0"/>
    <s v="Medium"/>
    <x v="0"/>
  </r>
  <r>
    <s v="YET-17732-678"/>
    <x v="135"/>
    <x v="143"/>
    <s v="R-D-0.2"/>
    <n v="1"/>
    <x v="143"/>
    <s v=""/>
    <x v="0"/>
    <s v="Rob"/>
    <x v="2"/>
    <x v="3"/>
    <n v="2.6849999999999996"/>
    <n v="2.6849999999999996"/>
    <x v="0"/>
    <s v="Dark"/>
    <x v="1"/>
  </r>
  <r>
    <s v="NKW-24945-846"/>
    <x v="35"/>
    <x v="144"/>
    <s v="A-D-2.5"/>
    <n v="5"/>
    <x v="144"/>
    <s v="jpray4a@youtube.com"/>
    <x v="0"/>
    <s v="Ara"/>
    <x v="2"/>
    <x v="2"/>
    <n v="22.884999999999998"/>
    <n v="114.42499999999998"/>
    <x v="2"/>
    <s v="Dark"/>
    <x v="1"/>
  </r>
  <r>
    <s v="VKA-82720-513"/>
    <x v="136"/>
    <x v="145"/>
    <s v="A-M-2.5"/>
    <n v="6"/>
    <x v="145"/>
    <s v="gholborn4b@ow.ly"/>
    <x v="0"/>
    <s v="Ara"/>
    <x v="0"/>
    <x v="2"/>
    <n v="25.874999999999996"/>
    <n v="155.24999999999997"/>
    <x v="2"/>
    <s v="Medium"/>
    <x v="0"/>
  </r>
  <r>
    <s v="THA-60599-417"/>
    <x v="137"/>
    <x v="146"/>
    <s v="A-M-2.5"/>
    <n v="3"/>
    <x v="146"/>
    <s v="fkeinrat4c@dailymail.co.uk"/>
    <x v="0"/>
    <s v="Ara"/>
    <x v="0"/>
    <x v="2"/>
    <n v="25.874999999999996"/>
    <n v="77.624999999999986"/>
    <x v="2"/>
    <s v="Medium"/>
    <x v="0"/>
  </r>
  <r>
    <s v="MEK-39769-035"/>
    <x v="138"/>
    <x v="147"/>
    <s v="R-D-2.5"/>
    <n v="3"/>
    <x v="147"/>
    <s v="pyea4d@aol.com"/>
    <x v="1"/>
    <s v="Rob"/>
    <x v="2"/>
    <x v="2"/>
    <n v="20.584999999999997"/>
    <n v="61.754999999999995"/>
    <x v="0"/>
    <s v="Dark"/>
    <x v="1"/>
  </r>
  <r>
    <s v="JAF-18294-750"/>
    <x v="139"/>
    <x v="148"/>
    <s v="R-D-2.5"/>
    <n v="6"/>
    <x v="148"/>
    <s v=""/>
    <x v="0"/>
    <s v="Rob"/>
    <x v="2"/>
    <x v="2"/>
    <n v="20.584999999999997"/>
    <n v="123.50999999999999"/>
    <x v="0"/>
    <s v="Dark"/>
    <x v="0"/>
  </r>
  <r>
    <s v="TME-59627-221"/>
    <x v="140"/>
    <x v="149"/>
    <s v="L-L-2.5"/>
    <n v="6"/>
    <x v="149"/>
    <s v=""/>
    <x v="0"/>
    <s v="Lib"/>
    <x v="1"/>
    <x v="2"/>
    <n v="36.454999999999998"/>
    <n v="218.73"/>
    <x v="3"/>
    <s v="Light"/>
    <x v="1"/>
  </r>
  <r>
    <s v="UDG-65353-824"/>
    <x v="141"/>
    <x v="150"/>
    <s v="E-M-0.5"/>
    <n v="4"/>
    <x v="150"/>
    <s v="kswede4g@addthis.com"/>
    <x v="0"/>
    <s v="Exc"/>
    <x v="0"/>
    <x v="1"/>
    <n v="8.25"/>
    <n v="33"/>
    <x v="1"/>
    <s v="Medium"/>
    <x v="1"/>
  </r>
  <r>
    <s v="ENQ-42923-176"/>
    <x v="142"/>
    <x v="151"/>
    <s v="A-L-0.5"/>
    <n v="3"/>
    <x v="151"/>
    <s v="lrubrow4h@microsoft.com"/>
    <x v="0"/>
    <s v="Ara"/>
    <x v="1"/>
    <x v="1"/>
    <n v="7.77"/>
    <n v="23.31"/>
    <x v="2"/>
    <s v="Light"/>
    <x v="1"/>
  </r>
  <r>
    <s v="CBT-55781-720"/>
    <x v="143"/>
    <x v="152"/>
    <s v="E-D-0.5"/>
    <n v="3"/>
    <x v="152"/>
    <s v="dtift4i@netvibes.com"/>
    <x v="0"/>
    <s v="Exc"/>
    <x v="2"/>
    <x v="1"/>
    <n v="7.29"/>
    <n v="21.87"/>
    <x v="1"/>
    <s v="Dark"/>
    <x v="0"/>
  </r>
  <r>
    <s v="NEU-86533-016"/>
    <x v="144"/>
    <x v="153"/>
    <s v="R-D-0.2"/>
    <n v="6"/>
    <x v="153"/>
    <s v="gschonfeld4j@oracle.com"/>
    <x v="0"/>
    <s v="Rob"/>
    <x v="2"/>
    <x v="3"/>
    <n v="2.6849999999999996"/>
    <n v="16.11"/>
    <x v="0"/>
    <s v="Dark"/>
    <x v="1"/>
  </r>
  <r>
    <s v="BYU-58154-603"/>
    <x v="145"/>
    <x v="154"/>
    <s v="E-D-0.5"/>
    <n v="4"/>
    <x v="154"/>
    <s v="cfeye4k@google.co.jp"/>
    <x v="1"/>
    <s v="Exc"/>
    <x v="2"/>
    <x v="1"/>
    <n v="7.29"/>
    <n v="29.16"/>
    <x v="1"/>
    <s v="Dark"/>
    <x v="1"/>
  </r>
  <r>
    <s v="EHJ-05910-257"/>
    <x v="146"/>
    <x v="155"/>
    <s v="R-D-1"/>
    <n v="6"/>
    <x v="155"/>
    <s v=""/>
    <x v="0"/>
    <s v="Rob"/>
    <x v="2"/>
    <x v="0"/>
    <n v="8.9499999999999993"/>
    <n v="53.699999999999996"/>
    <x v="0"/>
    <s v="Dark"/>
    <x v="0"/>
  </r>
  <r>
    <s v="EIL-44855-309"/>
    <x v="147"/>
    <x v="156"/>
    <s v="R-D-0.5"/>
    <n v="5"/>
    <x v="156"/>
    <s v=""/>
    <x v="0"/>
    <s v="Rob"/>
    <x v="2"/>
    <x v="1"/>
    <n v="5.3699999999999992"/>
    <n v="26.849999999999994"/>
    <x v="0"/>
    <s v="Dark"/>
    <x v="0"/>
  </r>
  <r>
    <s v="HCA-87224-420"/>
    <x v="148"/>
    <x v="157"/>
    <s v="E-M-0.5"/>
    <n v="5"/>
    <x v="157"/>
    <s v="tfero4n@comsenz.com"/>
    <x v="0"/>
    <s v="Exc"/>
    <x v="0"/>
    <x v="1"/>
    <n v="8.25"/>
    <n v="41.25"/>
    <x v="1"/>
    <s v="Medium"/>
    <x v="0"/>
  </r>
  <r>
    <s v="ABO-29054-365"/>
    <x v="149"/>
    <x v="158"/>
    <s v="A-M-0.5"/>
    <n v="6"/>
    <x v="158"/>
    <s v=""/>
    <x v="1"/>
    <s v="Ara"/>
    <x v="0"/>
    <x v="1"/>
    <n v="6.75"/>
    <n v="40.5"/>
    <x v="2"/>
    <s v="Medium"/>
    <x v="1"/>
  </r>
  <r>
    <s v="TKN-58485-031"/>
    <x v="150"/>
    <x v="159"/>
    <s v="R-D-1"/>
    <n v="2"/>
    <x v="159"/>
    <s v="fdauney4p@sphinn.com"/>
    <x v="1"/>
    <s v="Rob"/>
    <x v="2"/>
    <x v="0"/>
    <n v="8.9499999999999993"/>
    <n v="17.899999999999999"/>
    <x v="0"/>
    <s v="Dark"/>
    <x v="1"/>
  </r>
  <r>
    <s v="RCK-04069-371"/>
    <x v="151"/>
    <x v="160"/>
    <s v="E-L-2.5"/>
    <n v="2"/>
    <x v="160"/>
    <s v="searley4q@youku.com"/>
    <x v="2"/>
    <s v="Exc"/>
    <x v="1"/>
    <x v="2"/>
    <n v="34.154999999999994"/>
    <n v="68.309999999999988"/>
    <x v="1"/>
    <s v="Light"/>
    <x v="1"/>
  </r>
  <r>
    <s v="IRJ-67095-738"/>
    <x v="13"/>
    <x v="161"/>
    <s v="E-M-2.5"/>
    <n v="2"/>
    <x v="161"/>
    <s v="mchamberlayne4r@bigcartel.com"/>
    <x v="0"/>
    <s v="Exc"/>
    <x v="0"/>
    <x v="2"/>
    <n v="31.624999999999996"/>
    <n v="63.249999999999993"/>
    <x v="1"/>
    <s v="Medium"/>
    <x v="0"/>
  </r>
  <r>
    <s v="VEA-31961-977"/>
    <x v="79"/>
    <x v="162"/>
    <s v="E-D-0.5"/>
    <n v="3"/>
    <x v="162"/>
    <s v="bflaherty4s@moonfruit.com"/>
    <x v="1"/>
    <s v="Exc"/>
    <x v="2"/>
    <x v="1"/>
    <n v="7.29"/>
    <n v="21.87"/>
    <x v="1"/>
    <s v="Dark"/>
    <x v="1"/>
  </r>
  <r>
    <s v="BAF-42286-205"/>
    <x v="152"/>
    <x v="163"/>
    <s v="R-M-2.5"/>
    <n v="4"/>
    <x v="163"/>
    <s v="ocolbeck4t@sina.com.cn"/>
    <x v="0"/>
    <s v="Rob"/>
    <x v="0"/>
    <x v="2"/>
    <n v="22.884999999999998"/>
    <n v="91.539999999999992"/>
    <x v="0"/>
    <s v="Medium"/>
    <x v="1"/>
  </r>
  <r>
    <s v="WOR-52762-511"/>
    <x v="153"/>
    <x v="164"/>
    <s v="E-L-2.5"/>
    <n v="6"/>
    <x v="164"/>
    <s v=""/>
    <x v="0"/>
    <s v="Exc"/>
    <x v="1"/>
    <x v="2"/>
    <n v="34.154999999999994"/>
    <n v="204.92999999999995"/>
    <x v="1"/>
    <s v="Light"/>
    <x v="0"/>
  </r>
  <r>
    <s v="ZWK-03995-815"/>
    <x v="154"/>
    <x v="165"/>
    <s v="E-M-2.5"/>
    <n v="2"/>
    <x v="165"/>
    <s v="ehobbing4v@nsw.gov.au"/>
    <x v="0"/>
    <s v="Exc"/>
    <x v="0"/>
    <x v="2"/>
    <n v="31.624999999999996"/>
    <n v="63.249999999999993"/>
    <x v="1"/>
    <s v="Medium"/>
    <x v="0"/>
  </r>
  <r>
    <s v="CKF-43291-846"/>
    <x v="155"/>
    <x v="166"/>
    <s v="E-L-2.5"/>
    <n v="1"/>
    <x v="166"/>
    <s v="othynne4w@auda.org.au"/>
    <x v="0"/>
    <s v="Exc"/>
    <x v="1"/>
    <x v="2"/>
    <n v="34.154999999999994"/>
    <n v="34.154999999999994"/>
    <x v="1"/>
    <s v="Light"/>
    <x v="0"/>
  </r>
  <r>
    <s v="RMW-74160-339"/>
    <x v="156"/>
    <x v="167"/>
    <s v="R-L-2.5"/>
    <n v="4"/>
    <x v="167"/>
    <s v="eheining4x@flickr.com"/>
    <x v="0"/>
    <s v="Rob"/>
    <x v="1"/>
    <x v="2"/>
    <n v="27.484999999999996"/>
    <n v="109.93999999999998"/>
    <x v="0"/>
    <s v="Light"/>
    <x v="0"/>
  </r>
  <r>
    <s v="FMT-94584-786"/>
    <x v="22"/>
    <x v="168"/>
    <s v="A-L-1"/>
    <n v="2"/>
    <x v="168"/>
    <s v="kmelloi4y@imdb.com"/>
    <x v="0"/>
    <s v="Ara"/>
    <x v="1"/>
    <x v="0"/>
    <n v="12.95"/>
    <n v="25.9"/>
    <x v="2"/>
    <s v="Light"/>
    <x v="1"/>
  </r>
  <r>
    <s v="NWT-78222-575"/>
    <x v="157"/>
    <x v="169"/>
    <s v="A-D-0.2"/>
    <n v="1"/>
    <x v="169"/>
    <s v=""/>
    <x v="1"/>
    <s v="Ara"/>
    <x v="2"/>
    <x v="3"/>
    <n v="2.9849999999999999"/>
    <n v="2.9849999999999999"/>
    <x v="2"/>
    <s v="Dark"/>
    <x v="1"/>
  </r>
  <r>
    <s v="EOI-02511-919"/>
    <x v="158"/>
    <x v="170"/>
    <s v="E-L-0.2"/>
    <n v="5"/>
    <x v="170"/>
    <s v="amussen50@51.la"/>
    <x v="0"/>
    <s v="Exc"/>
    <x v="1"/>
    <x v="3"/>
    <n v="4.4550000000000001"/>
    <n v="22.274999999999999"/>
    <x v="1"/>
    <s v="Light"/>
    <x v="1"/>
  </r>
  <r>
    <s v="EOI-02511-919"/>
    <x v="158"/>
    <x v="170"/>
    <s v="A-D-0.5"/>
    <n v="5"/>
    <x v="170"/>
    <s v="amussen50@51.la"/>
    <x v="0"/>
    <s v="Ara"/>
    <x v="2"/>
    <x v="1"/>
    <n v="5.97"/>
    <n v="29.849999999999998"/>
    <x v="2"/>
    <s v="Dark"/>
    <x v="1"/>
  </r>
  <r>
    <s v="UCT-03935-589"/>
    <x v="78"/>
    <x v="171"/>
    <s v="R-D-0.5"/>
    <n v="6"/>
    <x v="171"/>
    <s v="amundford52@nbcnews.com"/>
    <x v="0"/>
    <s v="Rob"/>
    <x v="2"/>
    <x v="1"/>
    <n v="5.3699999999999992"/>
    <n v="32.22"/>
    <x v="0"/>
    <s v="Dark"/>
    <x v="1"/>
  </r>
  <r>
    <s v="SBI-60013-494"/>
    <x v="159"/>
    <x v="172"/>
    <s v="E-M-0.2"/>
    <n v="2"/>
    <x v="172"/>
    <s v="twalas53@google.ca"/>
    <x v="0"/>
    <s v="Exc"/>
    <x v="0"/>
    <x v="3"/>
    <n v="4.125"/>
    <n v="8.25"/>
    <x v="1"/>
    <s v="Medium"/>
    <x v="1"/>
  </r>
  <r>
    <s v="QRA-73277-814"/>
    <x v="160"/>
    <x v="173"/>
    <s v="A-L-0.5"/>
    <n v="4"/>
    <x v="173"/>
    <s v="iblazewicz54@thetimes.co.uk"/>
    <x v="0"/>
    <s v="Ara"/>
    <x v="1"/>
    <x v="1"/>
    <n v="7.77"/>
    <n v="31.08"/>
    <x v="2"/>
    <s v="Light"/>
    <x v="1"/>
  </r>
  <r>
    <s v="EQE-31648-909"/>
    <x v="161"/>
    <x v="174"/>
    <s v="E-D-0.5"/>
    <n v="5"/>
    <x v="174"/>
    <s v="arizzetti55@naver.com"/>
    <x v="0"/>
    <s v="Exc"/>
    <x v="2"/>
    <x v="1"/>
    <n v="7.29"/>
    <n v="36.450000000000003"/>
    <x v="1"/>
    <s v="Dark"/>
    <x v="0"/>
  </r>
  <r>
    <s v="QOO-24615-950"/>
    <x v="162"/>
    <x v="175"/>
    <s v="R-M-2.5"/>
    <n v="3"/>
    <x v="175"/>
    <s v="mmeriet56@noaa.gov"/>
    <x v="0"/>
    <s v="Rob"/>
    <x v="0"/>
    <x v="2"/>
    <n v="22.884999999999998"/>
    <n v="68.655000000000001"/>
    <x v="0"/>
    <s v="Medium"/>
    <x v="1"/>
  </r>
  <r>
    <s v="WDV-73864-037"/>
    <x v="70"/>
    <x v="176"/>
    <s v="L-M-0.5"/>
    <n v="5"/>
    <x v="176"/>
    <s v="lpratt57@netvibes.com"/>
    <x v="0"/>
    <s v="Lib"/>
    <x v="0"/>
    <x v="1"/>
    <n v="8.73"/>
    <n v="43.650000000000006"/>
    <x v="3"/>
    <s v="Medium"/>
    <x v="0"/>
  </r>
  <r>
    <s v="PKR-88575-066"/>
    <x v="163"/>
    <x v="177"/>
    <s v="E-L-0.2"/>
    <n v="1"/>
    <x v="177"/>
    <s v="akitchingham58@com.com"/>
    <x v="0"/>
    <s v="Exc"/>
    <x v="1"/>
    <x v="3"/>
    <n v="4.4550000000000001"/>
    <n v="4.4550000000000001"/>
    <x v="1"/>
    <s v="Light"/>
    <x v="0"/>
  </r>
  <r>
    <s v="BWR-85735-955"/>
    <x v="153"/>
    <x v="178"/>
    <s v="L-M-1"/>
    <n v="3"/>
    <x v="178"/>
    <s v="bbartholin59@xinhuanet.com"/>
    <x v="0"/>
    <s v="Lib"/>
    <x v="0"/>
    <x v="0"/>
    <n v="14.55"/>
    <n v="43.650000000000006"/>
    <x v="3"/>
    <s v="Medium"/>
    <x v="0"/>
  </r>
  <r>
    <s v="YFX-64795-136"/>
    <x v="164"/>
    <x v="179"/>
    <s v="L-M-2.5"/>
    <n v="1"/>
    <x v="179"/>
    <s v="mprinn5a@usa.gov"/>
    <x v="0"/>
    <s v="Lib"/>
    <x v="0"/>
    <x v="2"/>
    <n v="33.464999999999996"/>
    <n v="33.464999999999996"/>
    <x v="3"/>
    <s v="Medium"/>
    <x v="0"/>
  </r>
  <r>
    <s v="DDO-71442-967"/>
    <x v="165"/>
    <x v="180"/>
    <s v="L-D-0.2"/>
    <n v="5"/>
    <x v="180"/>
    <s v="abaudino5b@netvibes.com"/>
    <x v="0"/>
    <s v="Lib"/>
    <x v="2"/>
    <x v="3"/>
    <n v="3.8849999999999998"/>
    <n v="19.424999999999997"/>
    <x v="3"/>
    <s v="Dark"/>
    <x v="0"/>
  </r>
  <r>
    <s v="ILQ-11027-588"/>
    <x v="166"/>
    <x v="181"/>
    <s v="E-D-1"/>
    <n v="6"/>
    <x v="181"/>
    <s v="ppetrushanko5c@blinklist.com"/>
    <x v="1"/>
    <s v="Exc"/>
    <x v="2"/>
    <x v="0"/>
    <n v="12.15"/>
    <n v="72.900000000000006"/>
    <x v="1"/>
    <s v="Dark"/>
    <x v="0"/>
  </r>
  <r>
    <s v="KRZ-13868-122"/>
    <x v="167"/>
    <x v="182"/>
    <s v="E-L-1"/>
    <n v="3"/>
    <x v="182"/>
    <s v=""/>
    <x v="0"/>
    <s v="Exc"/>
    <x v="1"/>
    <x v="0"/>
    <n v="14.85"/>
    <n v="44.55"/>
    <x v="1"/>
    <s v="Light"/>
    <x v="1"/>
  </r>
  <r>
    <s v="VRM-93594-914"/>
    <x v="168"/>
    <x v="183"/>
    <s v="E-D-0.5"/>
    <n v="5"/>
    <x v="183"/>
    <s v="elaird5e@bing.com"/>
    <x v="0"/>
    <s v="Exc"/>
    <x v="2"/>
    <x v="1"/>
    <n v="7.29"/>
    <n v="36.450000000000003"/>
    <x v="1"/>
    <s v="Dark"/>
    <x v="1"/>
  </r>
  <r>
    <s v="HXL-22497-359"/>
    <x v="169"/>
    <x v="184"/>
    <s v="A-L-1"/>
    <n v="3"/>
    <x v="184"/>
    <s v="mhowsden5f@infoseek.co.jp"/>
    <x v="0"/>
    <s v="Ara"/>
    <x v="1"/>
    <x v="0"/>
    <n v="12.95"/>
    <n v="38.849999999999994"/>
    <x v="2"/>
    <s v="Light"/>
    <x v="1"/>
  </r>
  <r>
    <s v="NOP-21394-646"/>
    <x v="170"/>
    <x v="185"/>
    <s v="E-L-0.5"/>
    <n v="6"/>
    <x v="185"/>
    <s v="ncuttler5g@parallels.com"/>
    <x v="0"/>
    <s v="Exc"/>
    <x v="1"/>
    <x v="1"/>
    <n v="8.91"/>
    <n v="53.46"/>
    <x v="1"/>
    <s v="Light"/>
    <x v="1"/>
  </r>
  <r>
    <s v="NOP-21394-646"/>
    <x v="170"/>
    <x v="185"/>
    <s v="L-D-2.5"/>
    <n v="2"/>
    <x v="185"/>
    <s v="ncuttler5g@parallels.com"/>
    <x v="0"/>
    <s v="Lib"/>
    <x v="2"/>
    <x v="2"/>
    <n v="29.784999999999997"/>
    <n v="59.569999999999993"/>
    <x v="3"/>
    <s v="Dark"/>
    <x v="1"/>
  </r>
  <r>
    <s v="NOP-21394-646"/>
    <x v="170"/>
    <x v="185"/>
    <s v="L-D-2.5"/>
    <n v="3"/>
    <x v="185"/>
    <s v="ncuttler5g@parallels.com"/>
    <x v="0"/>
    <s v="Lib"/>
    <x v="2"/>
    <x v="2"/>
    <n v="29.784999999999997"/>
    <n v="89.35499999999999"/>
    <x v="3"/>
    <s v="Dark"/>
    <x v="1"/>
  </r>
  <r>
    <s v="NOP-21394-646"/>
    <x v="170"/>
    <x v="185"/>
    <s v="L-L-0.5"/>
    <n v="4"/>
    <x v="185"/>
    <s v="ncuttler5g@parallels.com"/>
    <x v="0"/>
    <s v="Lib"/>
    <x v="1"/>
    <x v="1"/>
    <n v="9.51"/>
    <n v="38.04"/>
    <x v="3"/>
    <s v="Light"/>
    <x v="1"/>
  </r>
  <r>
    <s v="NOP-21394-646"/>
    <x v="170"/>
    <x v="185"/>
    <s v="E-M-1"/>
    <n v="3"/>
    <x v="185"/>
    <s v="ncuttler5g@parallels.com"/>
    <x v="0"/>
    <s v="Exc"/>
    <x v="0"/>
    <x v="0"/>
    <n v="13.75"/>
    <n v="41.25"/>
    <x v="1"/>
    <s v="Medium"/>
    <x v="1"/>
  </r>
  <r>
    <s v="FTV-77095-168"/>
    <x v="171"/>
    <x v="186"/>
    <s v="L-L-0.5"/>
    <n v="6"/>
    <x v="186"/>
    <s v=""/>
    <x v="0"/>
    <s v="Lib"/>
    <x v="1"/>
    <x v="1"/>
    <n v="9.51"/>
    <n v="57.06"/>
    <x v="3"/>
    <s v="Light"/>
    <x v="1"/>
  </r>
  <r>
    <s v="BOR-02906-411"/>
    <x v="172"/>
    <x v="187"/>
    <s v="L-D-2.5"/>
    <n v="6"/>
    <x v="187"/>
    <s v="tfelip5m@typepad.com"/>
    <x v="0"/>
    <s v="Lib"/>
    <x v="2"/>
    <x v="2"/>
    <n v="29.784999999999997"/>
    <n v="178.70999999999998"/>
    <x v="3"/>
    <s v="Dark"/>
    <x v="0"/>
  </r>
  <r>
    <s v="WMP-68847-770"/>
    <x v="173"/>
    <x v="188"/>
    <s v="L-L-0.2"/>
    <n v="1"/>
    <x v="188"/>
    <s v="vle5n@disqus.com"/>
    <x v="0"/>
    <s v="Lib"/>
    <x v="1"/>
    <x v="3"/>
    <n v="4.7549999999999999"/>
    <n v="4.7549999999999999"/>
    <x v="3"/>
    <s v="Light"/>
    <x v="1"/>
  </r>
  <r>
    <s v="TMO-22785-872"/>
    <x v="174"/>
    <x v="189"/>
    <s v="E-M-1"/>
    <n v="6"/>
    <x v="189"/>
    <s v=""/>
    <x v="0"/>
    <s v="Exc"/>
    <x v="0"/>
    <x v="0"/>
    <n v="13.75"/>
    <n v="82.5"/>
    <x v="1"/>
    <s v="Medium"/>
    <x v="1"/>
  </r>
  <r>
    <s v="TJG-73587-353"/>
    <x v="175"/>
    <x v="190"/>
    <s v="R-D-0.2"/>
    <n v="3"/>
    <x v="190"/>
    <s v=""/>
    <x v="0"/>
    <s v="Rob"/>
    <x v="2"/>
    <x v="3"/>
    <n v="2.6849999999999996"/>
    <n v="8.0549999999999997"/>
    <x v="0"/>
    <s v="Dark"/>
    <x v="0"/>
  </r>
  <r>
    <s v="OOU-61343-455"/>
    <x v="176"/>
    <x v="191"/>
    <s v="A-M-1"/>
    <n v="2"/>
    <x v="191"/>
    <s v="npoolman5q@howstuffworks.com"/>
    <x v="0"/>
    <s v="Ara"/>
    <x v="0"/>
    <x v="0"/>
    <n v="11.25"/>
    <n v="22.5"/>
    <x v="2"/>
    <s v="Medium"/>
    <x v="1"/>
  </r>
  <r>
    <s v="RMA-08327-369"/>
    <x v="142"/>
    <x v="192"/>
    <s v="A-M-0.5"/>
    <n v="6"/>
    <x v="192"/>
    <s v="oduny5r@constantcontact.com"/>
    <x v="0"/>
    <s v="Ara"/>
    <x v="0"/>
    <x v="1"/>
    <n v="6.75"/>
    <n v="40.5"/>
    <x v="2"/>
    <s v="Medium"/>
    <x v="0"/>
  </r>
  <r>
    <s v="SFB-97929-779"/>
    <x v="177"/>
    <x v="193"/>
    <s v="E-D-0.5"/>
    <n v="4"/>
    <x v="193"/>
    <s v="chalfhide5s@google.ru"/>
    <x v="1"/>
    <s v="Exc"/>
    <x v="2"/>
    <x v="1"/>
    <n v="7.29"/>
    <n v="29.16"/>
    <x v="1"/>
    <s v="Dark"/>
    <x v="0"/>
  </r>
  <r>
    <s v="AUP-10128-606"/>
    <x v="178"/>
    <x v="194"/>
    <s v="A-M-0.5"/>
    <n v="1"/>
    <x v="194"/>
    <s v="fmalecky5t@list-manage.com"/>
    <x v="2"/>
    <s v="Ara"/>
    <x v="0"/>
    <x v="1"/>
    <n v="6.75"/>
    <n v="6.75"/>
    <x v="2"/>
    <s v="Medium"/>
    <x v="1"/>
  </r>
  <r>
    <s v="YTW-40242-005"/>
    <x v="179"/>
    <x v="195"/>
    <s v="L-D-1"/>
    <n v="4"/>
    <x v="195"/>
    <s v="aattwater5u@wikia.com"/>
    <x v="0"/>
    <s v="Lib"/>
    <x v="2"/>
    <x v="0"/>
    <n v="12.95"/>
    <n v="51.8"/>
    <x v="3"/>
    <s v="Dark"/>
    <x v="0"/>
  </r>
  <r>
    <s v="PRP-53390-819"/>
    <x v="180"/>
    <x v="196"/>
    <s v="E-L-0.5"/>
    <n v="6"/>
    <x v="196"/>
    <s v="mwhellans5v@mapquest.com"/>
    <x v="0"/>
    <s v="Exc"/>
    <x v="1"/>
    <x v="1"/>
    <n v="8.91"/>
    <n v="53.46"/>
    <x v="1"/>
    <s v="Light"/>
    <x v="1"/>
  </r>
  <r>
    <s v="GSJ-01065-125"/>
    <x v="181"/>
    <x v="197"/>
    <s v="E-D-0.2"/>
    <n v="4"/>
    <x v="197"/>
    <s v="dcamilletti5w@businesswire.com"/>
    <x v="0"/>
    <s v="Exc"/>
    <x v="2"/>
    <x v="3"/>
    <n v="3.645"/>
    <n v="14.58"/>
    <x v="1"/>
    <s v="Dark"/>
    <x v="0"/>
  </r>
  <r>
    <s v="YQU-65147-580"/>
    <x v="182"/>
    <x v="198"/>
    <s v="R-D-2.5"/>
    <n v="1"/>
    <x v="198"/>
    <s v="egalgey5x@wufoo.com"/>
    <x v="0"/>
    <s v="Rob"/>
    <x v="2"/>
    <x v="2"/>
    <n v="20.584999999999997"/>
    <n v="20.584999999999997"/>
    <x v="0"/>
    <s v="Dark"/>
    <x v="1"/>
  </r>
  <r>
    <s v="QPM-95832-683"/>
    <x v="183"/>
    <x v="199"/>
    <s v="L-L-1"/>
    <n v="2"/>
    <x v="199"/>
    <s v="mhame5y@newsvine.com"/>
    <x v="1"/>
    <s v="Lib"/>
    <x v="1"/>
    <x v="0"/>
    <n v="15.85"/>
    <n v="31.7"/>
    <x v="3"/>
    <s v="Light"/>
    <x v="1"/>
  </r>
  <r>
    <s v="BNQ-88920-567"/>
    <x v="184"/>
    <x v="200"/>
    <s v="L-D-0.2"/>
    <n v="6"/>
    <x v="200"/>
    <s v="igurnee5z@usnews.com"/>
    <x v="0"/>
    <s v="Lib"/>
    <x v="2"/>
    <x v="3"/>
    <n v="3.8849999999999998"/>
    <n v="23.31"/>
    <x v="3"/>
    <s v="Dark"/>
    <x v="1"/>
  </r>
  <r>
    <s v="PUX-47906-110"/>
    <x v="185"/>
    <x v="201"/>
    <s v="L-M-1"/>
    <n v="4"/>
    <x v="201"/>
    <s v="asnowding60@comsenz.com"/>
    <x v="0"/>
    <s v="Lib"/>
    <x v="0"/>
    <x v="0"/>
    <n v="14.55"/>
    <n v="58.2"/>
    <x v="3"/>
    <s v="Medium"/>
    <x v="0"/>
  </r>
  <r>
    <s v="COL-72079-610"/>
    <x v="186"/>
    <x v="202"/>
    <s v="E-L-0.5"/>
    <n v="4"/>
    <x v="202"/>
    <s v="gpoinsett61@berkeley.edu"/>
    <x v="0"/>
    <s v="Exc"/>
    <x v="1"/>
    <x v="1"/>
    <n v="8.91"/>
    <n v="35.64"/>
    <x v="1"/>
    <s v="Light"/>
    <x v="1"/>
  </r>
  <r>
    <s v="LBC-45686-819"/>
    <x v="187"/>
    <x v="203"/>
    <s v="A-M-1"/>
    <n v="5"/>
    <x v="203"/>
    <s v="rfurman62@t.co"/>
    <x v="1"/>
    <s v="Ara"/>
    <x v="0"/>
    <x v="0"/>
    <n v="11.25"/>
    <n v="56.25"/>
    <x v="2"/>
    <s v="Medium"/>
    <x v="0"/>
  </r>
  <r>
    <s v="BLQ-03709-265"/>
    <x v="148"/>
    <x v="204"/>
    <s v="R-L-0.2"/>
    <n v="3"/>
    <x v="204"/>
    <s v="ccrosier63@xrea.com"/>
    <x v="0"/>
    <s v="Rob"/>
    <x v="1"/>
    <x v="3"/>
    <n v="3.5849999999999995"/>
    <n v="10.754999999999999"/>
    <x v="0"/>
    <s v="Light"/>
    <x v="1"/>
  </r>
  <r>
    <s v="BLQ-03709-265"/>
    <x v="148"/>
    <x v="204"/>
    <s v="R-M-0.2"/>
    <n v="5"/>
    <x v="204"/>
    <s v="ccrosier63@xrea.com"/>
    <x v="0"/>
    <s v="Rob"/>
    <x v="0"/>
    <x v="3"/>
    <n v="2.9849999999999999"/>
    <n v="14.924999999999999"/>
    <x v="0"/>
    <s v="Medium"/>
    <x v="1"/>
  </r>
  <r>
    <s v="VFZ-91673-181"/>
    <x v="188"/>
    <x v="205"/>
    <s v="A-L-1"/>
    <n v="6"/>
    <x v="205"/>
    <s v="lrushmer65@europa.eu"/>
    <x v="0"/>
    <s v="Ara"/>
    <x v="1"/>
    <x v="0"/>
    <n v="12.95"/>
    <n v="77.699999999999989"/>
    <x v="2"/>
    <s v="Light"/>
    <x v="0"/>
  </r>
  <r>
    <s v="WKD-81956-870"/>
    <x v="189"/>
    <x v="206"/>
    <s v="L-D-0.5"/>
    <n v="3"/>
    <x v="206"/>
    <s v="wedinborough66@github.io"/>
    <x v="0"/>
    <s v="Lib"/>
    <x v="2"/>
    <x v="1"/>
    <n v="7.77"/>
    <n v="23.31"/>
    <x v="3"/>
    <s v="Dark"/>
    <x v="1"/>
  </r>
  <r>
    <s v="TNI-91067-006"/>
    <x v="190"/>
    <x v="207"/>
    <s v="E-L-1"/>
    <n v="4"/>
    <x v="207"/>
    <s v=""/>
    <x v="0"/>
    <s v="Exc"/>
    <x v="1"/>
    <x v="0"/>
    <n v="14.85"/>
    <n v="59.4"/>
    <x v="1"/>
    <s v="Light"/>
    <x v="0"/>
  </r>
  <r>
    <s v="IZA-61469-812"/>
    <x v="191"/>
    <x v="208"/>
    <s v="L-D-2.5"/>
    <n v="4"/>
    <x v="208"/>
    <s v="kbromehead68@un.org"/>
    <x v="0"/>
    <s v="Lib"/>
    <x v="2"/>
    <x v="2"/>
    <n v="29.784999999999997"/>
    <n v="119.13999999999999"/>
    <x v="3"/>
    <s v="Dark"/>
    <x v="0"/>
  </r>
  <r>
    <s v="PSS-22466-862"/>
    <x v="192"/>
    <x v="209"/>
    <s v="R-L-0.2"/>
    <n v="4"/>
    <x v="209"/>
    <s v="ewesterman69@si.edu"/>
    <x v="1"/>
    <s v="Rob"/>
    <x v="1"/>
    <x v="3"/>
    <n v="3.5849999999999995"/>
    <n v="14.339999999999998"/>
    <x v="0"/>
    <s v="Light"/>
    <x v="1"/>
  </r>
  <r>
    <s v="REH-56504-397"/>
    <x v="193"/>
    <x v="210"/>
    <s v="A-M-2.5"/>
    <n v="5"/>
    <x v="210"/>
    <s v="ahutchens6a@amazonaws.com"/>
    <x v="0"/>
    <s v="Ara"/>
    <x v="0"/>
    <x v="2"/>
    <n v="25.874999999999996"/>
    <n v="129.37499999999997"/>
    <x v="2"/>
    <s v="Medium"/>
    <x v="1"/>
  </r>
  <r>
    <s v="ALA-62598-016"/>
    <x v="194"/>
    <x v="211"/>
    <s v="R-D-0.2"/>
    <n v="6"/>
    <x v="211"/>
    <s v="nwyvill6b@naver.com"/>
    <x v="2"/>
    <s v="Rob"/>
    <x v="2"/>
    <x v="3"/>
    <n v="2.6849999999999996"/>
    <n v="16.11"/>
    <x v="0"/>
    <s v="Dark"/>
    <x v="0"/>
  </r>
  <r>
    <s v="EYE-70374-835"/>
    <x v="195"/>
    <x v="212"/>
    <s v="R-L-0.2"/>
    <n v="5"/>
    <x v="212"/>
    <s v="bmathon6c@barnesandnoble.com"/>
    <x v="0"/>
    <s v="Rob"/>
    <x v="1"/>
    <x v="3"/>
    <n v="3.5849999999999995"/>
    <n v="17.924999999999997"/>
    <x v="0"/>
    <s v="Light"/>
    <x v="1"/>
  </r>
  <r>
    <s v="CCZ-19589-212"/>
    <x v="196"/>
    <x v="213"/>
    <s v="L-M-0.2"/>
    <n v="2"/>
    <x v="213"/>
    <s v="kstreight6d@about.com"/>
    <x v="0"/>
    <s v="Lib"/>
    <x v="0"/>
    <x v="3"/>
    <n v="4.3650000000000002"/>
    <n v="8.73"/>
    <x v="3"/>
    <s v="Medium"/>
    <x v="1"/>
  </r>
  <r>
    <s v="BPT-83989-157"/>
    <x v="197"/>
    <x v="214"/>
    <s v="A-M-2.5"/>
    <n v="2"/>
    <x v="214"/>
    <s v="pcutchie6e@globo.com"/>
    <x v="0"/>
    <s v="Ara"/>
    <x v="0"/>
    <x v="2"/>
    <n v="25.874999999999996"/>
    <n v="51.749999999999993"/>
    <x v="2"/>
    <s v="Medium"/>
    <x v="1"/>
  </r>
  <r>
    <s v="YFH-87456-208"/>
    <x v="198"/>
    <x v="215"/>
    <s v="L-M-0.2"/>
    <n v="2"/>
    <x v="215"/>
    <s v=""/>
    <x v="0"/>
    <s v="Lib"/>
    <x v="0"/>
    <x v="3"/>
    <n v="4.3650000000000002"/>
    <n v="8.73"/>
    <x v="3"/>
    <s v="Medium"/>
    <x v="0"/>
  </r>
  <r>
    <s v="JLN-14700-924"/>
    <x v="199"/>
    <x v="216"/>
    <s v="L-L-0.2"/>
    <n v="5"/>
    <x v="216"/>
    <s v="cgheraldi6g@opera.com"/>
    <x v="2"/>
    <s v="Lib"/>
    <x v="1"/>
    <x v="3"/>
    <n v="4.7549999999999999"/>
    <n v="23.774999999999999"/>
    <x v="3"/>
    <s v="Light"/>
    <x v="1"/>
  </r>
  <r>
    <s v="JVW-22582-137"/>
    <x v="200"/>
    <x v="217"/>
    <s v="E-M-0.2"/>
    <n v="5"/>
    <x v="217"/>
    <s v="bkenwell6h@over-blog.com"/>
    <x v="0"/>
    <s v="Exc"/>
    <x v="0"/>
    <x v="3"/>
    <n v="4.125"/>
    <n v="20.625"/>
    <x v="1"/>
    <s v="Medium"/>
    <x v="1"/>
  </r>
  <r>
    <s v="LAA-41879-001"/>
    <x v="201"/>
    <x v="218"/>
    <s v="L-L-2.5"/>
    <n v="1"/>
    <x v="218"/>
    <s v="tsutty6i@google.es"/>
    <x v="0"/>
    <s v="Lib"/>
    <x v="1"/>
    <x v="2"/>
    <n v="36.454999999999998"/>
    <n v="36.454999999999998"/>
    <x v="3"/>
    <s v="Light"/>
    <x v="1"/>
  </r>
  <r>
    <s v="BRV-64870-915"/>
    <x v="202"/>
    <x v="219"/>
    <s v="L-L-2.5"/>
    <n v="5"/>
    <x v="219"/>
    <s v=""/>
    <x v="1"/>
    <s v="Lib"/>
    <x v="1"/>
    <x v="2"/>
    <n v="36.454999999999998"/>
    <n v="182.27499999999998"/>
    <x v="3"/>
    <s v="Light"/>
    <x v="1"/>
  </r>
  <r>
    <s v="RGJ-12544-083"/>
    <x v="203"/>
    <x v="220"/>
    <s v="L-D-2.5"/>
    <n v="3"/>
    <x v="220"/>
    <s v="charce6k@cafepress.com"/>
    <x v="1"/>
    <s v="Lib"/>
    <x v="2"/>
    <x v="2"/>
    <n v="29.784999999999997"/>
    <n v="89.35499999999999"/>
    <x v="3"/>
    <s v="Dark"/>
    <x v="1"/>
  </r>
  <r>
    <s v="JJX-83339-346"/>
    <x v="204"/>
    <x v="221"/>
    <s v="R-L-0.2"/>
    <n v="1"/>
    <x v="221"/>
    <s v=""/>
    <x v="0"/>
    <s v="Rob"/>
    <x v="1"/>
    <x v="3"/>
    <n v="3.5849999999999995"/>
    <n v="3.5849999999999995"/>
    <x v="0"/>
    <s v="Light"/>
    <x v="0"/>
  </r>
  <r>
    <s v="BIU-21970-705"/>
    <x v="205"/>
    <x v="222"/>
    <s v="R-M-2.5"/>
    <n v="2"/>
    <x v="222"/>
    <s v="fdrysdale6m@symantec.com"/>
    <x v="0"/>
    <s v="Rob"/>
    <x v="0"/>
    <x v="2"/>
    <n v="22.884999999999998"/>
    <n v="45.769999999999996"/>
    <x v="0"/>
    <s v="Medium"/>
    <x v="0"/>
  </r>
  <r>
    <s v="ELJ-87741-745"/>
    <x v="206"/>
    <x v="223"/>
    <s v="E-L-1"/>
    <n v="4"/>
    <x v="223"/>
    <s v="dmagowan6n@fc2.com"/>
    <x v="0"/>
    <s v="Exc"/>
    <x v="1"/>
    <x v="0"/>
    <n v="14.85"/>
    <n v="59.4"/>
    <x v="1"/>
    <s v="Light"/>
    <x v="1"/>
  </r>
  <r>
    <s v="SGI-48226-857"/>
    <x v="207"/>
    <x v="224"/>
    <s v="A-M-2.5"/>
    <n v="6"/>
    <x v="224"/>
    <s v=""/>
    <x v="0"/>
    <s v="Ara"/>
    <x v="0"/>
    <x v="2"/>
    <n v="25.874999999999996"/>
    <n v="155.24999999999997"/>
    <x v="2"/>
    <s v="Medium"/>
    <x v="0"/>
  </r>
  <r>
    <s v="AHV-66988-037"/>
    <x v="208"/>
    <x v="225"/>
    <s v="R-M-2.5"/>
    <n v="2"/>
    <x v="225"/>
    <s v=""/>
    <x v="0"/>
    <s v="Rob"/>
    <x v="0"/>
    <x v="2"/>
    <n v="22.884999999999998"/>
    <n v="45.769999999999996"/>
    <x v="0"/>
    <s v="Medium"/>
    <x v="1"/>
  </r>
  <r>
    <s v="ISK-42066-094"/>
    <x v="209"/>
    <x v="226"/>
    <s v="E-D-1"/>
    <n v="3"/>
    <x v="226"/>
    <s v="srushbrooke6q@youku.com"/>
    <x v="0"/>
    <s v="Exc"/>
    <x v="2"/>
    <x v="0"/>
    <n v="12.15"/>
    <n v="36.450000000000003"/>
    <x v="1"/>
    <s v="Dark"/>
    <x v="0"/>
  </r>
  <r>
    <s v="FTC-35822-530"/>
    <x v="210"/>
    <x v="227"/>
    <s v="E-D-0.5"/>
    <n v="4"/>
    <x v="227"/>
    <s v="tdrynan6r@deviantart.com"/>
    <x v="0"/>
    <s v="Exc"/>
    <x v="2"/>
    <x v="1"/>
    <n v="7.29"/>
    <n v="29.16"/>
    <x v="1"/>
    <s v="Dark"/>
    <x v="0"/>
  </r>
  <r>
    <s v="VSS-56247-688"/>
    <x v="211"/>
    <x v="228"/>
    <s v="L-M-2.5"/>
    <n v="4"/>
    <x v="228"/>
    <s v="eyurkov6s@hud.gov"/>
    <x v="0"/>
    <s v="Lib"/>
    <x v="0"/>
    <x v="2"/>
    <n v="33.464999999999996"/>
    <n v="133.85999999999999"/>
    <x v="3"/>
    <s v="Medium"/>
    <x v="1"/>
  </r>
  <r>
    <s v="HVW-25584-144"/>
    <x v="212"/>
    <x v="229"/>
    <s v="L-L-0.2"/>
    <n v="5"/>
    <x v="229"/>
    <s v="lmallan6t@state.gov"/>
    <x v="0"/>
    <s v="Lib"/>
    <x v="1"/>
    <x v="3"/>
    <n v="4.7549999999999999"/>
    <n v="23.774999999999999"/>
    <x v="3"/>
    <s v="Light"/>
    <x v="0"/>
  </r>
  <r>
    <s v="MUY-15309-209"/>
    <x v="213"/>
    <x v="230"/>
    <s v="L-D-1"/>
    <n v="3"/>
    <x v="230"/>
    <s v="gbentjens6u@netlog.com"/>
    <x v="2"/>
    <s v="Lib"/>
    <x v="2"/>
    <x v="0"/>
    <n v="12.95"/>
    <n v="38.849999999999994"/>
    <x v="3"/>
    <s v="Dark"/>
    <x v="1"/>
  </r>
  <r>
    <s v="VAJ-44572-469"/>
    <x v="63"/>
    <x v="231"/>
    <s v="R-L-0.2"/>
    <n v="6"/>
    <x v="231"/>
    <s v=""/>
    <x v="1"/>
    <s v="Rob"/>
    <x v="1"/>
    <x v="3"/>
    <n v="3.5849999999999995"/>
    <n v="21.509999999999998"/>
    <x v="0"/>
    <s v="Light"/>
    <x v="0"/>
  </r>
  <r>
    <s v="YJU-84377-606"/>
    <x v="214"/>
    <x v="232"/>
    <s v="A-D-1"/>
    <n v="1"/>
    <x v="232"/>
    <s v="lentwistle6w@omniture.com"/>
    <x v="0"/>
    <s v="Ara"/>
    <x v="2"/>
    <x v="0"/>
    <n v="9.9499999999999993"/>
    <n v="9.9499999999999993"/>
    <x v="2"/>
    <s v="Dark"/>
    <x v="0"/>
  </r>
  <r>
    <s v="VNC-93921-469"/>
    <x v="215"/>
    <x v="233"/>
    <s v="L-L-1"/>
    <n v="1"/>
    <x v="233"/>
    <s v="zkiffe74@cyberchimps.com"/>
    <x v="0"/>
    <s v="Lib"/>
    <x v="1"/>
    <x v="0"/>
    <n v="15.85"/>
    <n v="15.85"/>
    <x v="3"/>
    <s v="Light"/>
    <x v="0"/>
  </r>
  <r>
    <s v="OGB-91614-810"/>
    <x v="216"/>
    <x v="234"/>
    <s v="R-M-0.2"/>
    <n v="1"/>
    <x v="234"/>
    <s v="macott6y@pagesperso-orange.fr"/>
    <x v="0"/>
    <s v="Rob"/>
    <x v="0"/>
    <x v="3"/>
    <n v="2.9849999999999999"/>
    <n v="2.9849999999999999"/>
    <x v="0"/>
    <s v="Medium"/>
    <x v="0"/>
  </r>
  <r>
    <s v="BQI-61647-496"/>
    <x v="217"/>
    <x v="235"/>
    <s v="E-M-1"/>
    <n v="5"/>
    <x v="235"/>
    <s v="cheaviside6z@rediff.com"/>
    <x v="0"/>
    <s v="Exc"/>
    <x v="0"/>
    <x v="0"/>
    <n v="13.75"/>
    <n v="68.75"/>
    <x v="1"/>
    <s v="Medium"/>
    <x v="0"/>
  </r>
  <r>
    <s v="IOM-51636-823"/>
    <x v="218"/>
    <x v="236"/>
    <s v="A-D-1"/>
    <n v="3"/>
    <x v="236"/>
    <s v=""/>
    <x v="0"/>
    <s v="Ara"/>
    <x v="2"/>
    <x v="0"/>
    <n v="9.9499999999999993"/>
    <n v="29.849999999999998"/>
    <x v="2"/>
    <s v="Dark"/>
    <x v="1"/>
  </r>
  <r>
    <s v="GGD-38107-641"/>
    <x v="219"/>
    <x v="237"/>
    <s v="L-M-1"/>
    <n v="4"/>
    <x v="237"/>
    <s v="lkernan71@wsj.com"/>
    <x v="0"/>
    <s v="Lib"/>
    <x v="0"/>
    <x v="0"/>
    <n v="14.55"/>
    <n v="58.2"/>
    <x v="3"/>
    <s v="Medium"/>
    <x v="1"/>
  </r>
  <r>
    <s v="LTO-95975-728"/>
    <x v="220"/>
    <x v="238"/>
    <s v="R-L-0.5"/>
    <n v="4"/>
    <x v="238"/>
    <s v="rmclae72@dailymotion.com"/>
    <x v="2"/>
    <s v="Rob"/>
    <x v="1"/>
    <x v="1"/>
    <n v="7.169999999999999"/>
    <n v="28.679999999999996"/>
    <x v="0"/>
    <s v="Light"/>
    <x v="1"/>
  </r>
  <r>
    <s v="IGM-84664-265"/>
    <x v="114"/>
    <x v="239"/>
    <s v="R-L-0.5"/>
    <n v="3"/>
    <x v="239"/>
    <s v="cblowfelde73@ustream.tv"/>
    <x v="0"/>
    <s v="Rob"/>
    <x v="1"/>
    <x v="1"/>
    <n v="7.169999999999999"/>
    <n v="21.509999999999998"/>
    <x v="0"/>
    <s v="Light"/>
    <x v="1"/>
  </r>
  <r>
    <s v="SKO-45740-621"/>
    <x v="221"/>
    <x v="233"/>
    <s v="L-M-0.5"/>
    <n v="2"/>
    <x v="233"/>
    <s v="zkiffe74@cyberchimps.com"/>
    <x v="0"/>
    <s v="Lib"/>
    <x v="0"/>
    <x v="1"/>
    <n v="8.73"/>
    <n v="17.46"/>
    <x v="3"/>
    <s v="Medium"/>
    <x v="0"/>
  </r>
  <r>
    <s v="FOJ-02234-063"/>
    <x v="222"/>
    <x v="240"/>
    <s v="E-D-2.5"/>
    <n v="1"/>
    <x v="240"/>
    <s v="docalleran75@ucla.edu"/>
    <x v="0"/>
    <s v="Exc"/>
    <x v="2"/>
    <x v="2"/>
    <n v="27.945"/>
    <n v="27.945"/>
    <x v="1"/>
    <s v="Dark"/>
    <x v="0"/>
  </r>
  <r>
    <s v="MSJ-11909-468"/>
    <x v="188"/>
    <x v="241"/>
    <s v="E-D-2.5"/>
    <n v="5"/>
    <x v="241"/>
    <s v="ccromwell76@desdev.cn"/>
    <x v="0"/>
    <s v="Exc"/>
    <x v="2"/>
    <x v="2"/>
    <n v="27.945"/>
    <n v="139.72499999999999"/>
    <x v="1"/>
    <s v="Dark"/>
    <x v="1"/>
  </r>
  <r>
    <s v="DKB-78053-329"/>
    <x v="223"/>
    <x v="242"/>
    <s v="R-M-0.2"/>
    <n v="2"/>
    <x v="242"/>
    <s v="ihay77@lulu.com"/>
    <x v="2"/>
    <s v="Rob"/>
    <x v="0"/>
    <x v="3"/>
    <n v="2.9849999999999999"/>
    <n v="5.97"/>
    <x v="0"/>
    <s v="Medium"/>
    <x v="1"/>
  </r>
  <r>
    <s v="DFZ-45083-941"/>
    <x v="224"/>
    <x v="243"/>
    <s v="R-L-2.5"/>
    <n v="1"/>
    <x v="243"/>
    <s v="ttaffarello78@sciencedaily.com"/>
    <x v="0"/>
    <s v="Rob"/>
    <x v="1"/>
    <x v="2"/>
    <n v="27.484999999999996"/>
    <n v="27.484999999999996"/>
    <x v="0"/>
    <s v="Light"/>
    <x v="0"/>
  </r>
  <r>
    <s v="OTA-40969-710"/>
    <x v="83"/>
    <x v="244"/>
    <s v="R-L-1"/>
    <n v="5"/>
    <x v="244"/>
    <s v="mcanty79@jigsy.com"/>
    <x v="0"/>
    <s v="Rob"/>
    <x v="1"/>
    <x v="0"/>
    <n v="11.95"/>
    <n v="59.75"/>
    <x v="0"/>
    <s v="Light"/>
    <x v="0"/>
  </r>
  <r>
    <s v="GRH-45571-667"/>
    <x v="104"/>
    <x v="245"/>
    <s v="E-M-1"/>
    <n v="3"/>
    <x v="245"/>
    <s v="jkopke7a@auda.org.au"/>
    <x v="0"/>
    <s v="Exc"/>
    <x v="0"/>
    <x v="0"/>
    <n v="13.75"/>
    <n v="41.25"/>
    <x v="1"/>
    <s v="Medium"/>
    <x v="1"/>
  </r>
  <r>
    <s v="NXV-05302-067"/>
    <x v="225"/>
    <x v="246"/>
    <s v="L-M-2.5"/>
    <n v="4"/>
    <x v="246"/>
    <s v=""/>
    <x v="0"/>
    <s v="Lib"/>
    <x v="0"/>
    <x v="2"/>
    <n v="33.464999999999996"/>
    <n v="133.85999999999999"/>
    <x v="3"/>
    <s v="Medium"/>
    <x v="1"/>
  </r>
  <r>
    <s v="VZH-86274-142"/>
    <x v="226"/>
    <x v="247"/>
    <s v="R-L-1"/>
    <n v="5"/>
    <x v="247"/>
    <s v=""/>
    <x v="1"/>
    <s v="Rob"/>
    <x v="1"/>
    <x v="0"/>
    <n v="11.95"/>
    <n v="59.75"/>
    <x v="0"/>
    <s v="Light"/>
    <x v="0"/>
  </r>
  <r>
    <s v="KIX-93248-135"/>
    <x v="227"/>
    <x v="248"/>
    <s v="A-D-0.5"/>
    <n v="1"/>
    <x v="248"/>
    <s v="vhellmore7d@bbc.co.uk"/>
    <x v="0"/>
    <s v="Ara"/>
    <x v="2"/>
    <x v="1"/>
    <n v="5.97"/>
    <n v="5.97"/>
    <x v="2"/>
    <s v="Dark"/>
    <x v="0"/>
  </r>
  <r>
    <s v="AXR-10962-010"/>
    <x v="180"/>
    <x v="249"/>
    <s v="E-D-1"/>
    <n v="2"/>
    <x v="249"/>
    <s v="mseawright7e@nbcnews.com"/>
    <x v="2"/>
    <s v="Exc"/>
    <x v="2"/>
    <x v="0"/>
    <n v="12.15"/>
    <n v="24.3"/>
    <x v="1"/>
    <s v="Dark"/>
    <x v="1"/>
  </r>
  <r>
    <s v="IHS-71573-008"/>
    <x v="228"/>
    <x v="250"/>
    <s v="E-D-0.2"/>
    <n v="6"/>
    <x v="250"/>
    <s v="snortheast7f@mashable.com"/>
    <x v="0"/>
    <s v="Exc"/>
    <x v="2"/>
    <x v="3"/>
    <n v="3.645"/>
    <n v="21.87"/>
    <x v="1"/>
    <s v="Dark"/>
    <x v="0"/>
  </r>
  <r>
    <s v="QTR-19001-114"/>
    <x v="229"/>
    <x v="195"/>
    <s v="A-D-1"/>
    <n v="2"/>
    <x v="195"/>
    <s v="aattwater5u@wikia.com"/>
    <x v="0"/>
    <s v="Ara"/>
    <x v="2"/>
    <x v="0"/>
    <n v="9.9499999999999993"/>
    <n v="19.899999999999999"/>
    <x v="2"/>
    <s v="Dark"/>
    <x v="0"/>
  </r>
  <r>
    <s v="WBK-62297-910"/>
    <x v="230"/>
    <x v="251"/>
    <s v="A-D-0.2"/>
    <n v="2"/>
    <x v="251"/>
    <s v="mfearon7h@reverbnation.com"/>
    <x v="0"/>
    <s v="Ara"/>
    <x v="2"/>
    <x v="3"/>
    <n v="2.9849999999999999"/>
    <n v="5.97"/>
    <x v="2"/>
    <s v="Dark"/>
    <x v="1"/>
  </r>
  <r>
    <s v="OGY-19377-175"/>
    <x v="231"/>
    <x v="252"/>
    <s v="E-D-0.5"/>
    <n v="1"/>
    <x v="252"/>
    <s v=""/>
    <x v="1"/>
    <s v="Exc"/>
    <x v="2"/>
    <x v="1"/>
    <n v="7.29"/>
    <n v="7.29"/>
    <x v="1"/>
    <s v="Dark"/>
    <x v="0"/>
  </r>
  <r>
    <s v="ESR-66651-814"/>
    <x v="80"/>
    <x v="253"/>
    <s v="A-D-0.2"/>
    <n v="4"/>
    <x v="253"/>
    <s v="jsisneros7j@a8.net"/>
    <x v="0"/>
    <s v="Ara"/>
    <x v="2"/>
    <x v="3"/>
    <n v="2.9849999999999999"/>
    <n v="11.94"/>
    <x v="2"/>
    <s v="Dark"/>
    <x v="0"/>
  </r>
  <r>
    <s v="CPX-46916-770"/>
    <x v="232"/>
    <x v="254"/>
    <s v="R-L-1"/>
    <n v="6"/>
    <x v="254"/>
    <s v="zcarlson7k@bigcartel.com"/>
    <x v="1"/>
    <s v="Rob"/>
    <x v="1"/>
    <x v="0"/>
    <n v="11.95"/>
    <n v="71.699999999999989"/>
    <x v="0"/>
    <s v="Light"/>
    <x v="0"/>
  </r>
  <r>
    <s v="MDC-03318-645"/>
    <x v="233"/>
    <x v="255"/>
    <s v="A-L-0.2"/>
    <n v="2"/>
    <x v="255"/>
    <s v="wmaddox7l@timesonline.co.uk"/>
    <x v="0"/>
    <s v="Ara"/>
    <x v="1"/>
    <x v="3"/>
    <n v="3.8849999999999998"/>
    <n v="7.77"/>
    <x v="2"/>
    <s v="Light"/>
    <x v="1"/>
  </r>
  <r>
    <s v="SFF-86059-407"/>
    <x v="234"/>
    <x v="256"/>
    <s v="A-M-2.5"/>
    <n v="1"/>
    <x v="256"/>
    <s v="dhedlestone7m@craigslist.org"/>
    <x v="0"/>
    <s v="Ara"/>
    <x v="0"/>
    <x v="2"/>
    <n v="25.874999999999996"/>
    <n v="25.874999999999996"/>
    <x v="2"/>
    <s v="Medium"/>
    <x v="1"/>
  </r>
  <r>
    <s v="SCL-94540-788"/>
    <x v="235"/>
    <x v="257"/>
    <s v="E-L-2.5"/>
    <n v="6"/>
    <x v="257"/>
    <s v="tcrowthe7n@europa.eu"/>
    <x v="0"/>
    <s v="Exc"/>
    <x v="1"/>
    <x v="2"/>
    <n v="34.154999999999994"/>
    <n v="204.92999999999995"/>
    <x v="1"/>
    <s v="Light"/>
    <x v="1"/>
  </r>
  <r>
    <s v="HVU-21634-076"/>
    <x v="236"/>
    <x v="258"/>
    <s v="R-L-2.5"/>
    <n v="4"/>
    <x v="258"/>
    <s v="dbury7o@tinyurl.com"/>
    <x v="1"/>
    <s v="Rob"/>
    <x v="1"/>
    <x v="2"/>
    <n v="27.484999999999996"/>
    <n v="109.93999999999998"/>
    <x v="0"/>
    <s v="Light"/>
    <x v="0"/>
  </r>
  <r>
    <s v="XUS-73326-418"/>
    <x v="237"/>
    <x v="259"/>
    <s v="E-L-1"/>
    <n v="6"/>
    <x v="259"/>
    <s v="gbroadbear7p@omniture.com"/>
    <x v="0"/>
    <s v="Exc"/>
    <x v="1"/>
    <x v="0"/>
    <n v="14.85"/>
    <n v="89.1"/>
    <x v="1"/>
    <s v="Light"/>
    <x v="1"/>
  </r>
  <r>
    <s v="XWD-18933-006"/>
    <x v="238"/>
    <x v="260"/>
    <s v="A-L-0.2"/>
    <n v="2"/>
    <x v="260"/>
    <s v="epalfrey7q@devhub.com"/>
    <x v="0"/>
    <s v="Ara"/>
    <x v="1"/>
    <x v="3"/>
    <n v="3.8849999999999998"/>
    <n v="7.77"/>
    <x v="2"/>
    <s v="Light"/>
    <x v="0"/>
  </r>
  <r>
    <s v="HPD-65272-772"/>
    <x v="52"/>
    <x v="261"/>
    <s v="L-M-2.5"/>
    <n v="1"/>
    <x v="261"/>
    <s v="pmetrick7r@rakuten.co.jp"/>
    <x v="0"/>
    <s v="Lib"/>
    <x v="0"/>
    <x v="2"/>
    <n v="33.464999999999996"/>
    <n v="33.464999999999996"/>
    <x v="3"/>
    <s v="Medium"/>
    <x v="0"/>
  </r>
  <r>
    <s v="JEG-93140-224"/>
    <x v="146"/>
    <x v="262"/>
    <s v="E-M-0.5"/>
    <n v="5"/>
    <x v="262"/>
    <s v=""/>
    <x v="0"/>
    <s v="Exc"/>
    <x v="0"/>
    <x v="1"/>
    <n v="8.25"/>
    <n v="41.25"/>
    <x v="1"/>
    <s v="Medium"/>
    <x v="0"/>
  </r>
  <r>
    <s v="NNH-62058-950"/>
    <x v="239"/>
    <x v="263"/>
    <s v="E-L-1"/>
    <n v="4"/>
    <x v="263"/>
    <s v="kkarby7t@sbwire.com"/>
    <x v="0"/>
    <s v="Exc"/>
    <x v="1"/>
    <x v="0"/>
    <n v="14.85"/>
    <n v="59.4"/>
    <x v="1"/>
    <s v="Light"/>
    <x v="0"/>
  </r>
  <r>
    <s v="LTD-71429-845"/>
    <x v="240"/>
    <x v="264"/>
    <s v="A-L-0.5"/>
    <n v="1"/>
    <x v="264"/>
    <s v="fcrumpe7u@ftc.gov"/>
    <x v="2"/>
    <s v="Ara"/>
    <x v="1"/>
    <x v="1"/>
    <n v="7.77"/>
    <n v="7.77"/>
    <x v="2"/>
    <s v="Light"/>
    <x v="1"/>
  </r>
  <r>
    <s v="MPV-26985-215"/>
    <x v="241"/>
    <x v="265"/>
    <s v="R-D-0.5"/>
    <n v="1"/>
    <x v="265"/>
    <s v="achatto7v@sakura.ne.jp"/>
    <x v="2"/>
    <s v="Rob"/>
    <x v="2"/>
    <x v="1"/>
    <n v="5.3699999999999992"/>
    <n v="5.3699999999999992"/>
    <x v="0"/>
    <s v="Dark"/>
    <x v="0"/>
  </r>
  <r>
    <s v="IYO-10245-081"/>
    <x v="242"/>
    <x v="266"/>
    <s v="E-M-2.5"/>
    <n v="3"/>
    <x v="266"/>
    <s v=""/>
    <x v="0"/>
    <s v="Exc"/>
    <x v="0"/>
    <x v="2"/>
    <n v="31.624999999999996"/>
    <n v="94.874999999999986"/>
    <x v="1"/>
    <s v="Medium"/>
    <x v="1"/>
  </r>
  <r>
    <s v="BYZ-39669-954"/>
    <x v="243"/>
    <x v="267"/>
    <s v="L-L-2.5"/>
    <n v="1"/>
    <x v="267"/>
    <s v=""/>
    <x v="0"/>
    <s v="Lib"/>
    <x v="1"/>
    <x v="2"/>
    <n v="36.454999999999998"/>
    <n v="36.454999999999998"/>
    <x v="3"/>
    <s v="Light"/>
    <x v="1"/>
  </r>
  <r>
    <s v="EFB-72860-209"/>
    <x v="244"/>
    <x v="268"/>
    <s v="A-M-0.2"/>
    <n v="4"/>
    <x v="268"/>
    <s v="bmergue7y@umn.edu"/>
    <x v="0"/>
    <s v="Ara"/>
    <x v="0"/>
    <x v="3"/>
    <n v="3.375"/>
    <n v="13.5"/>
    <x v="2"/>
    <s v="Medium"/>
    <x v="0"/>
  </r>
  <r>
    <s v="GMM-72397-378"/>
    <x v="245"/>
    <x v="269"/>
    <s v="R-L-0.2"/>
    <n v="4"/>
    <x v="269"/>
    <s v="kpatise7z@jigsy.com"/>
    <x v="0"/>
    <s v="Rob"/>
    <x v="1"/>
    <x v="3"/>
    <n v="3.5849999999999995"/>
    <n v="14.339999999999998"/>
    <x v="0"/>
    <s v="Light"/>
    <x v="1"/>
  </r>
  <r>
    <s v="LYP-52345-883"/>
    <x v="246"/>
    <x v="270"/>
    <s v="E-M-0.5"/>
    <n v="1"/>
    <x v="270"/>
    <s v=""/>
    <x v="1"/>
    <s v="Exc"/>
    <x v="0"/>
    <x v="1"/>
    <n v="8.25"/>
    <n v="8.25"/>
    <x v="1"/>
    <s v="Medium"/>
    <x v="0"/>
  </r>
  <r>
    <s v="DFK-35846-692"/>
    <x v="247"/>
    <x v="271"/>
    <s v="R-D-0.2"/>
    <n v="5"/>
    <x v="271"/>
    <s v=""/>
    <x v="0"/>
    <s v="Rob"/>
    <x v="2"/>
    <x v="3"/>
    <n v="2.6849999999999996"/>
    <n v="13.424999999999997"/>
    <x v="0"/>
    <s v="Dark"/>
    <x v="0"/>
  </r>
  <r>
    <s v="XAH-93337-609"/>
    <x v="248"/>
    <x v="272"/>
    <s v="A-D-1"/>
    <n v="5"/>
    <x v="272"/>
    <s v="dduke82@vkontakte.ru"/>
    <x v="0"/>
    <s v="Ara"/>
    <x v="2"/>
    <x v="0"/>
    <n v="9.9499999999999993"/>
    <n v="49.75"/>
    <x v="2"/>
    <s v="Dark"/>
    <x v="1"/>
  </r>
  <r>
    <s v="QKA-72582-644"/>
    <x v="249"/>
    <x v="273"/>
    <s v="E-M-0.5"/>
    <n v="2"/>
    <x v="273"/>
    <s v=""/>
    <x v="1"/>
    <s v="Exc"/>
    <x v="0"/>
    <x v="1"/>
    <n v="8.25"/>
    <n v="16.5"/>
    <x v="1"/>
    <s v="Medium"/>
    <x v="1"/>
  </r>
  <r>
    <s v="ZDK-84567-102"/>
    <x v="250"/>
    <x v="274"/>
    <s v="A-D-0.5"/>
    <n v="3"/>
    <x v="274"/>
    <s v="ihussey84@mapy.cz"/>
    <x v="0"/>
    <s v="Ara"/>
    <x v="2"/>
    <x v="1"/>
    <n v="5.97"/>
    <n v="17.91"/>
    <x v="2"/>
    <s v="Dark"/>
    <x v="1"/>
  </r>
  <r>
    <s v="WAV-38301-984"/>
    <x v="251"/>
    <x v="275"/>
    <s v="A-D-0.5"/>
    <n v="5"/>
    <x v="275"/>
    <s v="cpinkerton85@upenn.edu"/>
    <x v="0"/>
    <s v="Ara"/>
    <x v="2"/>
    <x v="1"/>
    <n v="5.97"/>
    <n v="29.849999999999998"/>
    <x v="2"/>
    <s v="Dark"/>
    <x v="1"/>
  </r>
  <r>
    <s v="KZR-33023-209"/>
    <x v="177"/>
    <x v="276"/>
    <s v="E-L-1"/>
    <n v="3"/>
    <x v="276"/>
    <s v=""/>
    <x v="0"/>
    <s v="Exc"/>
    <x v="1"/>
    <x v="0"/>
    <n v="14.85"/>
    <n v="44.55"/>
    <x v="1"/>
    <s v="Light"/>
    <x v="1"/>
  </r>
  <r>
    <s v="ULM-49433-003"/>
    <x v="252"/>
    <x v="277"/>
    <s v="E-M-1"/>
    <n v="2"/>
    <x v="277"/>
    <s v=""/>
    <x v="0"/>
    <s v="Exc"/>
    <x v="0"/>
    <x v="0"/>
    <n v="13.75"/>
    <n v="27.5"/>
    <x v="1"/>
    <s v="Medium"/>
    <x v="1"/>
  </r>
  <r>
    <s v="SIB-83254-136"/>
    <x v="253"/>
    <x v="278"/>
    <s v="R-M-0.5"/>
    <n v="6"/>
    <x v="278"/>
    <s v="dvizor88@furl.net"/>
    <x v="0"/>
    <s v="Rob"/>
    <x v="0"/>
    <x v="1"/>
    <n v="5.97"/>
    <n v="35.82"/>
    <x v="0"/>
    <s v="Medium"/>
    <x v="0"/>
  </r>
  <r>
    <s v="NOK-50349-551"/>
    <x v="254"/>
    <x v="279"/>
    <s v="R-D-0.5"/>
    <n v="3"/>
    <x v="279"/>
    <s v="esedgebeer89@oaic.gov.au"/>
    <x v="0"/>
    <s v="Rob"/>
    <x v="2"/>
    <x v="1"/>
    <n v="5.3699999999999992"/>
    <n v="16.11"/>
    <x v="0"/>
    <s v="Dark"/>
    <x v="0"/>
  </r>
  <r>
    <s v="YIS-96268-844"/>
    <x v="227"/>
    <x v="280"/>
    <s v="E-L-0.2"/>
    <n v="6"/>
    <x v="280"/>
    <s v="klestrange8a@lulu.com"/>
    <x v="0"/>
    <s v="Exc"/>
    <x v="1"/>
    <x v="3"/>
    <n v="4.4550000000000001"/>
    <n v="26.73"/>
    <x v="1"/>
    <s v="Light"/>
    <x v="0"/>
  </r>
  <r>
    <s v="CXI-04933-855"/>
    <x v="110"/>
    <x v="281"/>
    <s v="E-L-2.5"/>
    <n v="6"/>
    <x v="281"/>
    <s v="ltanti8b@techcrunch.com"/>
    <x v="0"/>
    <s v="Exc"/>
    <x v="1"/>
    <x v="2"/>
    <n v="34.154999999999994"/>
    <n v="204.92999999999995"/>
    <x v="1"/>
    <s v="Light"/>
    <x v="0"/>
  </r>
  <r>
    <s v="IZU-90429-382"/>
    <x v="182"/>
    <x v="282"/>
    <s v="A-L-1"/>
    <n v="3"/>
    <x v="282"/>
    <s v="ade8c@1und1.de"/>
    <x v="0"/>
    <s v="Ara"/>
    <x v="1"/>
    <x v="0"/>
    <n v="12.95"/>
    <n v="38.849999999999994"/>
    <x v="2"/>
    <s v="Light"/>
    <x v="0"/>
  </r>
  <r>
    <s v="WIT-40912-783"/>
    <x v="255"/>
    <x v="283"/>
    <s v="L-D-0.2"/>
    <n v="4"/>
    <x v="283"/>
    <s v="tjedrachowicz8d@acquirethisname.com"/>
    <x v="0"/>
    <s v="Lib"/>
    <x v="2"/>
    <x v="3"/>
    <n v="3.8849999999999998"/>
    <n v="15.54"/>
    <x v="3"/>
    <s v="Dark"/>
    <x v="0"/>
  </r>
  <r>
    <s v="PSD-57291-590"/>
    <x v="256"/>
    <x v="284"/>
    <s v="A-M-0.5"/>
    <n v="1"/>
    <x v="284"/>
    <s v="pstonner8e@moonfruit.com"/>
    <x v="0"/>
    <s v="Ara"/>
    <x v="0"/>
    <x v="1"/>
    <n v="6.75"/>
    <n v="6.75"/>
    <x v="2"/>
    <s v="Medium"/>
    <x v="1"/>
  </r>
  <r>
    <s v="GOI-41472-677"/>
    <x v="3"/>
    <x v="285"/>
    <s v="E-D-2.5"/>
    <n v="4"/>
    <x v="285"/>
    <s v="dtingly8f@goo.ne.jp"/>
    <x v="0"/>
    <s v="Exc"/>
    <x v="2"/>
    <x v="2"/>
    <n v="27.945"/>
    <n v="111.78"/>
    <x v="1"/>
    <s v="Dark"/>
    <x v="0"/>
  </r>
  <r>
    <s v="KTX-17944-494"/>
    <x v="257"/>
    <x v="286"/>
    <s v="A-L-0.2"/>
    <n v="1"/>
    <x v="286"/>
    <s v="crushe8n@about.me"/>
    <x v="0"/>
    <s v="Ara"/>
    <x v="1"/>
    <x v="3"/>
    <n v="3.8849999999999998"/>
    <n v="3.8849999999999998"/>
    <x v="2"/>
    <s v="Light"/>
    <x v="0"/>
  </r>
  <r>
    <s v="RDM-99811-230"/>
    <x v="258"/>
    <x v="287"/>
    <s v="L-M-0.2"/>
    <n v="5"/>
    <x v="287"/>
    <s v="bchecci8h@usa.gov"/>
    <x v="2"/>
    <s v="Lib"/>
    <x v="0"/>
    <x v="3"/>
    <n v="4.3650000000000002"/>
    <n v="21.825000000000003"/>
    <x v="3"/>
    <s v="Medium"/>
    <x v="1"/>
  </r>
  <r>
    <s v="JTU-55897-581"/>
    <x v="259"/>
    <x v="288"/>
    <s v="R-M-0.2"/>
    <n v="5"/>
    <x v="288"/>
    <s v="jbagot8i@mac.com"/>
    <x v="0"/>
    <s v="Rob"/>
    <x v="0"/>
    <x v="3"/>
    <n v="2.9849999999999999"/>
    <n v="14.924999999999999"/>
    <x v="0"/>
    <s v="Medium"/>
    <x v="1"/>
  </r>
  <r>
    <s v="CRK-07584-240"/>
    <x v="260"/>
    <x v="289"/>
    <s v="A-M-1"/>
    <n v="3"/>
    <x v="289"/>
    <s v="ebeeble8j@soundcloud.com"/>
    <x v="0"/>
    <s v="Ara"/>
    <x v="0"/>
    <x v="0"/>
    <n v="11.25"/>
    <n v="33.75"/>
    <x v="2"/>
    <s v="Medium"/>
    <x v="0"/>
  </r>
  <r>
    <s v="MKE-75518-399"/>
    <x v="261"/>
    <x v="290"/>
    <s v="A-M-1"/>
    <n v="3"/>
    <x v="290"/>
    <s v="cfluin8k@flickr.com"/>
    <x v="2"/>
    <s v="Ara"/>
    <x v="0"/>
    <x v="0"/>
    <n v="11.25"/>
    <n v="33.75"/>
    <x v="2"/>
    <s v="Medium"/>
    <x v="1"/>
  </r>
  <r>
    <s v="AEL-51169-725"/>
    <x v="262"/>
    <x v="291"/>
    <s v="L-M-0.2"/>
    <n v="6"/>
    <x v="291"/>
    <s v="ebletsor8l@vinaora.com"/>
    <x v="0"/>
    <s v="Lib"/>
    <x v="0"/>
    <x v="3"/>
    <n v="4.3650000000000002"/>
    <n v="26.19"/>
    <x v="3"/>
    <s v="Medium"/>
    <x v="0"/>
  </r>
  <r>
    <s v="ZGM-83108-823"/>
    <x v="263"/>
    <x v="292"/>
    <s v="E-L-1"/>
    <n v="1"/>
    <x v="292"/>
    <s v="pbrydell8m@bloglovin.com"/>
    <x v="1"/>
    <s v="Exc"/>
    <x v="1"/>
    <x v="0"/>
    <n v="14.85"/>
    <n v="14.85"/>
    <x v="1"/>
    <s v="Light"/>
    <x v="1"/>
  </r>
  <r>
    <s v="JBP-78754-392"/>
    <x v="212"/>
    <x v="286"/>
    <s v="E-M-2.5"/>
    <n v="6"/>
    <x v="286"/>
    <s v="crushe8n@about.me"/>
    <x v="0"/>
    <s v="Exc"/>
    <x v="0"/>
    <x v="2"/>
    <n v="31.624999999999996"/>
    <n v="189.74999999999997"/>
    <x v="1"/>
    <s v="Medium"/>
    <x v="0"/>
  </r>
  <r>
    <s v="RNH-54912-747"/>
    <x v="187"/>
    <x v="293"/>
    <s v="R-M-0.5"/>
    <n v="1"/>
    <x v="293"/>
    <s v="nleethem8o@mac.com"/>
    <x v="0"/>
    <s v="Rob"/>
    <x v="0"/>
    <x v="1"/>
    <n v="5.97"/>
    <n v="5.97"/>
    <x v="0"/>
    <s v="Medium"/>
    <x v="0"/>
  </r>
  <r>
    <s v="JDS-33440-914"/>
    <x v="248"/>
    <x v="294"/>
    <s v="R-M-1"/>
    <n v="3"/>
    <x v="294"/>
    <s v="anesfield8p@people.com.cn"/>
    <x v="2"/>
    <s v="Rob"/>
    <x v="0"/>
    <x v="0"/>
    <n v="9.9499999999999993"/>
    <n v="29.849999999999998"/>
    <x v="0"/>
    <s v="Medium"/>
    <x v="0"/>
  </r>
  <r>
    <s v="SYX-48878-182"/>
    <x v="264"/>
    <x v="295"/>
    <s v="R-D-1"/>
    <n v="5"/>
    <x v="295"/>
    <s v=""/>
    <x v="0"/>
    <s v="Rob"/>
    <x v="2"/>
    <x v="0"/>
    <n v="8.9499999999999993"/>
    <n v="44.75"/>
    <x v="0"/>
    <s v="Dark"/>
    <x v="1"/>
  </r>
  <r>
    <s v="ZGD-94763-868"/>
    <x v="265"/>
    <x v="296"/>
    <s v="E-L-2.5"/>
    <n v="1"/>
    <x v="296"/>
    <s v="mbrockway8r@ibm.com"/>
    <x v="0"/>
    <s v="Exc"/>
    <x v="1"/>
    <x v="2"/>
    <n v="34.154999999999994"/>
    <n v="34.154999999999994"/>
    <x v="1"/>
    <s v="Light"/>
    <x v="0"/>
  </r>
  <r>
    <s v="CZY-70361-485"/>
    <x v="266"/>
    <x v="297"/>
    <s v="E-L-2.5"/>
    <n v="6"/>
    <x v="297"/>
    <s v="nlush8s@dedecms.com"/>
    <x v="1"/>
    <s v="Exc"/>
    <x v="1"/>
    <x v="2"/>
    <n v="34.154999999999994"/>
    <n v="204.92999999999995"/>
    <x v="1"/>
    <s v="Light"/>
    <x v="1"/>
  </r>
  <r>
    <s v="RJR-12175-899"/>
    <x v="267"/>
    <x v="298"/>
    <s v="E-D-0.5"/>
    <n v="3"/>
    <x v="298"/>
    <s v="smcmillian8t@csmonitor.com"/>
    <x v="0"/>
    <s v="Exc"/>
    <x v="2"/>
    <x v="1"/>
    <n v="7.29"/>
    <n v="21.87"/>
    <x v="1"/>
    <s v="Dark"/>
    <x v="1"/>
  </r>
  <r>
    <s v="ELB-07929-407"/>
    <x v="204"/>
    <x v="299"/>
    <s v="A-M-2.5"/>
    <n v="2"/>
    <x v="299"/>
    <s v="tbennison8u@google.cn"/>
    <x v="0"/>
    <s v="Ara"/>
    <x v="0"/>
    <x v="2"/>
    <n v="25.874999999999996"/>
    <n v="51.749999999999993"/>
    <x v="2"/>
    <s v="Medium"/>
    <x v="0"/>
  </r>
  <r>
    <s v="UJQ-54441-340"/>
    <x v="268"/>
    <x v="300"/>
    <s v="E-M-0.2"/>
    <n v="2"/>
    <x v="300"/>
    <s v="gtweed8v@yolasite.com"/>
    <x v="0"/>
    <s v="Exc"/>
    <x v="0"/>
    <x v="3"/>
    <n v="4.125"/>
    <n v="8.25"/>
    <x v="1"/>
    <s v="Medium"/>
    <x v="0"/>
  </r>
  <r>
    <s v="UJQ-54441-340"/>
    <x v="268"/>
    <x v="300"/>
    <s v="A-L-0.2"/>
    <n v="5"/>
    <x v="300"/>
    <s v="gtweed8v@yolasite.com"/>
    <x v="0"/>
    <s v="Ara"/>
    <x v="1"/>
    <x v="3"/>
    <n v="3.8849999999999998"/>
    <n v="19.424999999999997"/>
    <x v="2"/>
    <s v="Light"/>
    <x v="0"/>
  </r>
  <r>
    <s v="OWY-43108-475"/>
    <x v="269"/>
    <x v="301"/>
    <s v="A-M-0.2"/>
    <n v="6"/>
    <x v="301"/>
    <s v="ggoggin8x@wix.com"/>
    <x v="1"/>
    <s v="Ara"/>
    <x v="0"/>
    <x v="3"/>
    <n v="3.375"/>
    <n v="20.25"/>
    <x v="2"/>
    <s v="Medium"/>
    <x v="0"/>
  </r>
  <r>
    <s v="GNO-91911-159"/>
    <x v="145"/>
    <x v="302"/>
    <s v="L-D-0.5"/>
    <n v="3"/>
    <x v="302"/>
    <s v="sjeyness8y@biglobe.ne.jp"/>
    <x v="1"/>
    <s v="Lib"/>
    <x v="2"/>
    <x v="1"/>
    <n v="7.77"/>
    <n v="23.31"/>
    <x v="3"/>
    <s v="Dark"/>
    <x v="1"/>
  </r>
  <r>
    <s v="CNY-06284-066"/>
    <x v="270"/>
    <x v="303"/>
    <s v="E-D-0.2"/>
    <n v="5"/>
    <x v="303"/>
    <s v="dbonhome8z@shinystat.com"/>
    <x v="0"/>
    <s v="Exc"/>
    <x v="2"/>
    <x v="3"/>
    <n v="3.645"/>
    <n v="18.225000000000001"/>
    <x v="1"/>
    <s v="Dark"/>
    <x v="0"/>
  </r>
  <r>
    <s v="OQS-46321-904"/>
    <x v="271"/>
    <x v="304"/>
    <s v="E-M-1"/>
    <n v="1"/>
    <x v="304"/>
    <s v=""/>
    <x v="0"/>
    <s v="Exc"/>
    <x v="0"/>
    <x v="0"/>
    <n v="13.75"/>
    <n v="13.75"/>
    <x v="1"/>
    <s v="Medium"/>
    <x v="1"/>
  </r>
  <r>
    <s v="IBW-87442-480"/>
    <x v="272"/>
    <x v="305"/>
    <s v="A-L-2.5"/>
    <n v="1"/>
    <x v="305"/>
    <s v="tle91@epa.gov"/>
    <x v="0"/>
    <s v="Ara"/>
    <x v="1"/>
    <x v="2"/>
    <n v="29.784999999999997"/>
    <n v="29.784999999999997"/>
    <x v="2"/>
    <s v="Light"/>
    <x v="0"/>
  </r>
  <r>
    <s v="DGZ-82537-477"/>
    <x v="252"/>
    <x v="306"/>
    <s v="R-D-1"/>
    <n v="5"/>
    <x v="306"/>
    <s v=""/>
    <x v="0"/>
    <s v="Rob"/>
    <x v="2"/>
    <x v="0"/>
    <n v="8.9499999999999993"/>
    <n v="44.75"/>
    <x v="0"/>
    <s v="Dark"/>
    <x v="1"/>
  </r>
  <r>
    <s v="LPS-39089-432"/>
    <x v="273"/>
    <x v="307"/>
    <s v="R-D-1"/>
    <n v="5"/>
    <x v="307"/>
    <s v="balldridge93@yandex.ru"/>
    <x v="0"/>
    <s v="Rob"/>
    <x v="2"/>
    <x v="0"/>
    <n v="8.9499999999999993"/>
    <n v="44.75"/>
    <x v="0"/>
    <s v="Dark"/>
    <x v="0"/>
  </r>
  <r>
    <s v="MQU-86100-929"/>
    <x v="274"/>
    <x v="308"/>
    <s v="L-L-0.5"/>
    <n v="4"/>
    <x v="308"/>
    <s v=""/>
    <x v="0"/>
    <s v="Lib"/>
    <x v="1"/>
    <x v="1"/>
    <n v="9.51"/>
    <n v="38.04"/>
    <x v="3"/>
    <s v="Light"/>
    <x v="0"/>
  </r>
  <r>
    <s v="XUR-14132-391"/>
    <x v="275"/>
    <x v="309"/>
    <s v="R-D-0.5"/>
    <n v="4"/>
    <x v="309"/>
    <s v="lgoodger95@guardian.co.uk"/>
    <x v="0"/>
    <s v="Rob"/>
    <x v="2"/>
    <x v="1"/>
    <n v="5.3699999999999992"/>
    <n v="21.479999999999997"/>
    <x v="0"/>
    <s v="Dark"/>
    <x v="0"/>
  </r>
  <r>
    <s v="OVI-27064-381"/>
    <x v="276"/>
    <x v="298"/>
    <s v="R-D-0.5"/>
    <n v="3"/>
    <x v="298"/>
    <s v="smcmillian8t@csmonitor.com"/>
    <x v="0"/>
    <s v="Rob"/>
    <x v="2"/>
    <x v="1"/>
    <n v="5.3699999999999992"/>
    <n v="16.11"/>
    <x v="0"/>
    <s v="Dark"/>
    <x v="1"/>
  </r>
  <r>
    <s v="SHP-17012-870"/>
    <x v="277"/>
    <x v="310"/>
    <s v="R-M-2.5"/>
    <n v="1"/>
    <x v="310"/>
    <s v="cdrewett97@wikipedia.org"/>
    <x v="0"/>
    <s v="Rob"/>
    <x v="0"/>
    <x v="2"/>
    <n v="22.884999999999998"/>
    <n v="22.884999999999998"/>
    <x v="0"/>
    <s v="Medium"/>
    <x v="0"/>
  </r>
  <r>
    <s v="FDY-03414-903"/>
    <x v="278"/>
    <x v="311"/>
    <s v="A-D-0.5"/>
    <n v="3"/>
    <x v="311"/>
    <s v="qparsons98@blogtalkradio.com"/>
    <x v="0"/>
    <s v="Ara"/>
    <x v="2"/>
    <x v="1"/>
    <n v="5.97"/>
    <n v="17.91"/>
    <x v="2"/>
    <s v="Dark"/>
    <x v="0"/>
  </r>
  <r>
    <s v="WXT-85291-143"/>
    <x v="279"/>
    <x v="312"/>
    <s v="R-M-0.5"/>
    <n v="4"/>
    <x v="312"/>
    <s v="vceely99@auda.org.au"/>
    <x v="0"/>
    <s v="Rob"/>
    <x v="0"/>
    <x v="1"/>
    <n v="5.97"/>
    <n v="23.88"/>
    <x v="0"/>
    <s v="Medium"/>
    <x v="0"/>
  </r>
  <r>
    <s v="QNP-18893-547"/>
    <x v="280"/>
    <x v="313"/>
    <s v="R-L-1"/>
    <n v="5"/>
    <x v="313"/>
    <s v=""/>
    <x v="0"/>
    <s v="Rob"/>
    <x v="1"/>
    <x v="0"/>
    <n v="11.95"/>
    <n v="59.75"/>
    <x v="0"/>
    <s v="Light"/>
    <x v="1"/>
  </r>
  <r>
    <s v="DOH-92927-530"/>
    <x v="281"/>
    <x v="314"/>
    <s v="L-L-0.2"/>
    <n v="6"/>
    <x v="314"/>
    <s v="cvasiliev9b@discuz.net"/>
    <x v="0"/>
    <s v="Lib"/>
    <x v="1"/>
    <x v="3"/>
    <n v="4.7549999999999999"/>
    <n v="28.53"/>
    <x v="3"/>
    <s v="Light"/>
    <x v="0"/>
  </r>
  <r>
    <s v="HGJ-82768-173"/>
    <x v="282"/>
    <x v="315"/>
    <s v="A-M-1"/>
    <n v="4"/>
    <x v="315"/>
    <s v="tomoylan9c@liveinternet.ru"/>
    <x v="2"/>
    <s v="Ara"/>
    <x v="0"/>
    <x v="0"/>
    <n v="11.25"/>
    <n v="45"/>
    <x v="2"/>
    <s v="Medium"/>
    <x v="1"/>
  </r>
  <r>
    <s v="YPT-95383-088"/>
    <x v="283"/>
    <x v="306"/>
    <s v="E-D-2.5"/>
    <n v="2"/>
    <x v="306"/>
    <s v=""/>
    <x v="0"/>
    <s v="Exc"/>
    <x v="2"/>
    <x v="2"/>
    <n v="27.945"/>
    <n v="55.89"/>
    <x v="1"/>
    <s v="Dark"/>
    <x v="1"/>
  </r>
  <r>
    <s v="OYH-16533-767"/>
    <x v="284"/>
    <x v="316"/>
    <s v="E-L-1"/>
    <n v="4"/>
    <x v="316"/>
    <s v="wfetherston9e@constantcontact.com"/>
    <x v="0"/>
    <s v="Exc"/>
    <x v="1"/>
    <x v="0"/>
    <n v="14.85"/>
    <n v="59.4"/>
    <x v="1"/>
    <s v="Light"/>
    <x v="1"/>
  </r>
  <r>
    <s v="DWW-28642-549"/>
    <x v="285"/>
    <x v="317"/>
    <s v="E-D-0.2"/>
    <n v="2"/>
    <x v="317"/>
    <s v="erasmus9f@techcrunch.com"/>
    <x v="0"/>
    <s v="Exc"/>
    <x v="2"/>
    <x v="3"/>
    <n v="3.645"/>
    <n v="7.29"/>
    <x v="1"/>
    <s v="Dark"/>
    <x v="0"/>
  </r>
  <r>
    <s v="CGO-79583-871"/>
    <x v="286"/>
    <x v="318"/>
    <s v="E-D-0.5"/>
    <n v="1"/>
    <x v="318"/>
    <s v="wgiorgioni9g@wikipedia.org"/>
    <x v="0"/>
    <s v="Exc"/>
    <x v="2"/>
    <x v="1"/>
    <n v="7.29"/>
    <n v="7.29"/>
    <x v="1"/>
    <s v="Dark"/>
    <x v="0"/>
  </r>
  <r>
    <s v="TFY-52090-386"/>
    <x v="287"/>
    <x v="319"/>
    <s v="E-L-0.5"/>
    <n v="2"/>
    <x v="319"/>
    <s v="lscargle9h@myspace.com"/>
    <x v="0"/>
    <s v="Exc"/>
    <x v="1"/>
    <x v="1"/>
    <n v="8.91"/>
    <n v="17.82"/>
    <x v="1"/>
    <s v="Light"/>
    <x v="1"/>
  </r>
  <r>
    <s v="TFY-52090-386"/>
    <x v="287"/>
    <x v="319"/>
    <s v="L-D-0.5"/>
    <n v="5"/>
    <x v="319"/>
    <s v="lscargle9h@myspace.com"/>
    <x v="0"/>
    <s v="Lib"/>
    <x v="2"/>
    <x v="1"/>
    <n v="7.77"/>
    <n v="38.849999999999994"/>
    <x v="3"/>
    <s v="Dark"/>
    <x v="1"/>
  </r>
  <r>
    <s v="NYY-73968-094"/>
    <x v="288"/>
    <x v="320"/>
    <s v="R-D-0.5"/>
    <n v="6"/>
    <x v="320"/>
    <s v="nclimance9j@europa.eu"/>
    <x v="0"/>
    <s v="Rob"/>
    <x v="2"/>
    <x v="1"/>
    <n v="5.3699999999999992"/>
    <n v="32.22"/>
    <x v="0"/>
    <s v="Dark"/>
    <x v="1"/>
  </r>
  <r>
    <s v="QEY-71761-460"/>
    <x v="250"/>
    <x v="321"/>
    <s v="R-M-1"/>
    <n v="2"/>
    <x v="321"/>
    <s v=""/>
    <x v="1"/>
    <s v="Rob"/>
    <x v="0"/>
    <x v="0"/>
    <n v="9.9499999999999993"/>
    <n v="19.899999999999999"/>
    <x v="0"/>
    <s v="Medium"/>
    <x v="0"/>
  </r>
  <r>
    <s v="GKQ-82603-910"/>
    <x v="289"/>
    <x v="322"/>
    <s v="R-L-1"/>
    <n v="5"/>
    <x v="322"/>
    <s v="asnazle9l@oracle.com"/>
    <x v="0"/>
    <s v="Rob"/>
    <x v="1"/>
    <x v="0"/>
    <n v="11.95"/>
    <n v="59.75"/>
    <x v="0"/>
    <s v="Light"/>
    <x v="1"/>
  </r>
  <r>
    <s v="IOB-32673-745"/>
    <x v="290"/>
    <x v="323"/>
    <s v="A-L-0.5"/>
    <n v="3"/>
    <x v="323"/>
    <s v="rworg9m@arstechnica.com"/>
    <x v="0"/>
    <s v="Ara"/>
    <x v="1"/>
    <x v="1"/>
    <n v="7.77"/>
    <n v="23.31"/>
    <x v="2"/>
    <s v="Light"/>
    <x v="0"/>
  </r>
  <r>
    <s v="YAU-98893-150"/>
    <x v="291"/>
    <x v="324"/>
    <s v="L-M-1"/>
    <n v="3"/>
    <x v="324"/>
    <s v="ldanes9n@umn.edu"/>
    <x v="0"/>
    <s v="Lib"/>
    <x v="0"/>
    <x v="0"/>
    <n v="14.55"/>
    <n v="43.650000000000006"/>
    <x v="3"/>
    <s v="Medium"/>
    <x v="1"/>
  </r>
  <r>
    <s v="XNM-14163-951"/>
    <x v="292"/>
    <x v="325"/>
    <s v="E-L-2.5"/>
    <n v="6"/>
    <x v="325"/>
    <s v="skeynd9o@narod.ru"/>
    <x v="0"/>
    <s v="Exc"/>
    <x v="1"/>
    <x v="2"/>
    <n v="34.154999999999994"/>
    <n v="204.92999999999995"/>
    <x v="1"/>
    <s v="Light"/>
    <x v="1"/>
  </r>
  <r>
    <s v="JPB-45297-000"/>
    <x v="293"/>
    <x v="326"/>
    <s v="R-L-0.2"/>
    <n v="4"/>
    <x v="326"/>
    <s v="ddaveridge9p@arstechnica.com"/>
    <x v="0"/>
    <s v="Rob"/>
    <x v="1"/>
    <x v="3"/>
    <n v="3.5849999999999995"/>
    <n v="14.339999999999998"/>
    <x v="0"/>
    <s v="Light"/>
    <x v="1"/>
  </r>
  <r>
    <s v="MOU-74341-266"/>
    <x v="294"/>
    <x v="327"/>
    <s v="A-D-0.5"/>
    <n v="4"/>
    <x v="327"/>
    <s v="jawdry9q@utexas.edu"/>
    <x v="0"/>
    <s v="Ara"/>
    <x v="2"/>
    <x v="1"/>
    <n v="5.97"/>
    <n v="23.88"/>
    <x v="2"/>
    <s v="Dark"/>
    <x v="1"/>
  </r>
  <r>
    <s v="DHJ-87461-571"/>
    <x v="295"/>
    <x v="328"/>
    <s v="A-M-1"/>
    <n v="2"/>
    <x v="328"/>
    <s v="eryles9r@fastcompany.com"/>
    <x v="0"/>
    <s v="Ara"/>
    <x v="0"/>
    <x v="0"/>
    <n v="11.25"/>
    <n v="22.5"/>
    <x v="2"/>
    <s v="Medium"/>
    <x v="1"/>
  </r>
  <r>
    <s v="DKM-97676-850"/>
    <x v="296"/>
    <x v="306"/>
    <s v="E-D-0.5"/>
    <n v="5"/>
    <x v="306"/>
    <s v=""/>
    <x v="0"/>
    <s v="Exc"/>
    <x v="2"/>
    <x v="1"/>
    <n v="7.29"/>
    <n v="36.450000000000003"/>
    <x v="1"/>
    <s v="Dark"/>
    <x v="1"/>
  </r>
  <r>
    <s v="UEB-09112-118"/>
    <x v="297"/>
    <x v="329"/>
    <s v="A-M-0.5"/>
    <n v="4"/>
    <x v="329"/>
    <s v=""/>
    <x v="0"/>
    <s v="Ara"/>
    <x v="0"/>
    <x v="1"/>
    <n v="6.75"/>
    <n v="27"/>
    <x v="2"/>
    <s v="Medium"/>
    <x v="0"/>
  </r>
  <r>
    <s v="ORZ-67699-748"/>
    <x v="298"/>
    <x v="330"/>
    <s v="A-M-2.5"/>
    <n v="6"/>
    <x v="330"/>
    <s v="jcaldicott9u@usda.gov"/>
    <x v="0"/>
    <s v="Ara"/>
    <x v="0"/>
    <x v="2"/>
    <n v="25.874999999999996"/>
    <n v="155.24999999999997"/>
    <x v="2"/>
    <s v="Medium"/>
    <x v="1"/>
  </r>
  <r>
    <s v="JXP-28398-485"/>
    <x v="299"/>
    <x v="331"/>
    <s v="A-D-2.5"/>
    <n v="5"/>
    <x v="331"/>
    <s v="mvedmore9v@a8.net"/>
    <x v="0"/>
    <s v="Ara"/>
    <x v="2"/>
    <x v="2"/>
    <n v="22.884999999999998"/>
    <n v="114.42499999999998"/>
    <x v="2"/>
    <s v="Dark"/>
    <x v="0"/>
  </r>
  <r>
    <s v="WWH-92259-198"/>
    <x v="300"/>
    <x v="332"/>
    <s v="L-D-1"/>
    <n v="4"/>
    <x v="332"/>
    <s v="wromao9w@chronoengine.com"/>
    <x v="0"/>
    <s v="Lib"/>
    <x v="2"/>
    <x v="0"/>
    <n v="12.95"/>
    <n v="51.8"/>
    <x v="3"/>
    <s v="Dark"/>
    <x v="0"/>
  </r>
  <r>
    <s v="FLR-82914-153"/>
    <x v="301"/>
    <x v="333"/>
    <s v="A-M-2.5"/>
    <n v="6"/>
    <x v="333"/>
    <s v=""/>
    <x v="0"/>
    <s v="Ara"/>
    <x v="0"/>
    <x v="2"/>
    <n v="25.874999999999996"/>
    <n v="155.24999999999997"/>
    <x v="2"/>
    <s v="Medium"/>
    <x v="1"/>
  </r>
  <r>
    <s v="AMB-93600-000"/>
    <x v="302"/>
    <x v="334"/>
    <s v="A-L-2.5"/>
    <n v="1"/>
    <x v="334"/>
    <s v="tcotmore9y@amazonaws.com"/>
    <x v="0"/>
    <s v="Ara"/>
    <x v="1"/>
    <x v="2"/>
    <n v="29.784999999999997"/>
    <n v="29.784999999999997"/>
    <x v="2"/>
    <s v="Light"/>
    <x v="1"/>
  </r>
  <r>
    <s v="FEP-36895-658"/>
    <x v="303"/>
    <x v="335"/>
    <s v="R-L-0.2"/>
    <n v="6"/>
    <x v="335"/>
    <s v="yskipsey9z@spotify.com"/>
    <x v="2"/>
    <s v="Rob"/>
    <x v="1"/>
    <x v="3"/>
    <n v="3.5849999999999995"/>
    <n v="21.509999999999998"/>
    <x v="0"/>
    <s v="Light"/>
    <x v="1"/>
  </r>
  <r>
    <s v="RXW-91413-276"/>
    <x v="304"/>
    <x v="336"/>
    <s v="R-D-2.5"/>
    <n v="2"/>
    <x v="336"/>
    <s v="ncorpsa0@gmpg.org"/>
    <x v="0"/>
    <s v="Rob"/>
    <x v="2"/>
    <x v="2"/>
    <n v="20.584999999999997"/>
    <n v="41.169999999999995"/>
    <x v="0"/>
    <s v="Dark"/>
    <x v="1"/>
  </r>
  <r>
    <s v="RXW-91413-276"/>
    <x v="304"/>
    <x v="336"/>
    <s v="R-M-0.5"/>
    <n v="1"/>
    <x v="336"/>
    <s v="ncorpsa0@gmpg.org"/>
    <x v="0"/>
    <s v="Rob"/>
    <x v="0"/>
    <x v="1"/>
    <n v="5.97"/>
    <n v="5.97"/>
    <x v="0"/>
    <s v="Medium"/>
    <x v="1"/>
  </r>
  <r>
    <s v="SDB-77492-188"/>
    <x v="305"/>
    <x v="337"/>
    <s v="E-L-1"/>
    <n v="5"/>
    <x v="337"/>
    <s v="fbabbera2@stanford.edu"/>
    <x v="0"/>
    <s v="Exc"/>
    <x v="1"/>
    <x v="0"/>
    <n v="14.85"/>
    <n v="74.25"/>
    <x v="1"/>
    <s v="Light"/>
    <x v="0"/>
  </r>
  <r>
    <s v="RZN-65182-395"/>
    <x v="196"/>
    <x v="338"/>
    <s v="L-M-1"/>
    <n v="6"/>
    <x v="338"/>
    <s v="kloxtona3@opensource.org"/>
    <x v="0"/>
    <s v="Lib"/>
    <x v="0"/>
    <x v="0"/>
    <n v="14.55"/>
    <n v="87.300000000000011"/>
    <x v="3"/>
    <s v="Medium"/>
    <x v="1"/>
  </r>
  <r>
    <s v="HDQ-86094-507"/>
    <x v="110"/>
    <x v="339"/>
    <s v="E-D-1"/>
    <n v="6"/>
    <x v="339"/>
    <s v="ptoffula4@posterous.com"/>
    <x v="0"/>
    <s v="Exc"/>
    <x v="2"/>
    <x v="0"/>
    <n v="12.15"/>
    <n v="72.900000000000006"/>
    <x v="1"/>
    <s v="Dark"/>
    <x v="0"/>
  </r>
  <r>
    <s v="YXO-79631-417"/>
    <x v="24"/>
    <x v="340"/>
    <s v="L-D-0.5"/>
    <n v="1"/>
    <x v="340"/>
    <s v="cgwinnetta5@behance.net"/>
    <x v="0"/>
    <s v="Lib"/>
    <x v="2"/>
    <x v="1"/>
    <n v="7.77"/>
    <n v="7.77"/>
    <x v="3"/>
    <s v="Dark"/>
    <x v="1"/>
  </r>
  <r>
    <s v="SNF-57032-096"/>
    <x v="306"/>
    <x v="341"/>
    <s v="E-D-0.5"/>
    <n v="6"/>
    <x v="341"/>
    <s v=""/>
    <x v="0"/>
    <s v="Exc"/>
    <x v="2"/>
    <x v="1"/>
    <n v="7.29"/>
    <n v="43.74"/>
    <x v="1"/>
    <s v="Dark"/>
    <x v="1"/>
  </r>
  <r>
    <s v="DGL-29648-995"/>
    <x v="307"/>
    <x v="342"/>
    <s v="L-M-0.2"/>
    <n v="2"/>
    <x v="342"/>
    <s v=""/>
    <x v="0"/>
    <s v="Lib"/>
    <x v="0"/>
    <x v="3"/>
    <n v="4.3650000000000002"/>
    <n v="8.73"/>
    <x v="3"/>
    <s v="Medium"/>
    <x v="0"/>
  </r>
  <r>
    <s v="GPU-65651-504"/>
    <x v="308"/>
    <x v="343"/>
    <s v="E-M-2.5"/>
    <n v="2"/>
    <x v="343"/>
    <s v="lflaoniera8@wordpress.org"/>
    <x v="0"/>
    <s v="Exc"/>
    <x v="0"/>
    <x v="2"/>
    <n v="31.624999999999996"/>
    <n v="63.249999999999993"/>
    <x v="1"/>
    <s v="Medium"/>
    <x v="1"/>
  </r>
  <r>
    <s v="OJU-34452-896"/>
    <x v="309"/>
    <x v="344"/>
    <s v="E-L-0.5"/>
    <n v="1"/>
    <x v="344"/>
    <s v=""/>
    <x v="0"/>
    <s v="Exc"/>
    <x v="1"/>
    <x v="1"/>
    <n v="8.91"/>
    <n v="8.91"/>
    <x v="1"/>
    <s v="Light"/>
    <x v="0"/>
  </r>
  <r>
    <s v="GZS-50547-887"/>
    <x v="310"/>
    <x v="345"/>
    <s v="E-D-1"/>
    <n v="2"/>
    <x v="345"/>
    <s v="ccatchesideaa@macromedia.com"/>
    <x v="0"/>
    <s v="Exc"/>
    <x v="2"/>
    <x v="0"/>
    <n v="12.15"/>
    <n v="24.3"/>
    <x v="1"/>
    <s v="Dark"/>
    <x v="0"/>
  </r>
  <r>
    <s v="ESR-54041-053"/>
    <x v="311"/>
    <x v="346"/>
    <s v="A-L-0.5"/>
    <n v="6"/>
    <x v="346"/>
    <s v="cgibbonsonab@accuweather.com"/>
    <x v="0"/>
    <s v="Ara"/>
    <x v="1"/>
    <x v="1"/>
    <n v="7.77"/>
    <n v="46.62"/>
    <x v="2"/>
    <s v="Light"/>
    <x v="0"/>
  </r>
  <r>
    <s v="OGD-10781-526"/>
    <x v="132"/>
    <x v="347"/>
    <s v="R-L-0.5"/>
    <n v="6"/>
    <x v="347"/>
    <s v="tfarraac@behance.net"/>
    <x v="0"/>
    <s v="Rob"/>
    <x v="1"/>
    <x v="1"/>
    <n v="7.169999999999999"/>
    <n v="43.019999999999996"/>
    <x v="0"/>
    <s v="Light"/>
    <x v="1"/>
  </r>
  <r>
    <s v="FVH-29271-315"/>
    <x v="312"/>
    <x v="348"/>
    <s v="A-D-0.5"/>
    <n v="3"/>
    <x v="348"/>
    <s v=""/>
    <x v="1"/>
    <s v="Ara"/>
    <x v="2"/>
    <x v="1"/>
    <n v="5.97"/>
    <n v="17.91"/>
    <x v="2"/>
    <s v="Dark"/>
    <x v="0"/>
  </r>
  <r>
    <s v="BNZ-20544-633"/>
    <x v="313"/>
    <x v="349"/>
    <s v="L-L-0.5"/>
    <n v="4"/>
    <x v="349"/>
    <s v="gbamfieldae@yellowpages.com"/>
    <x v="0"/>
    <s v="Lib"/>
    <x v="1"/>
    <x v="1"/>
    <n v="9.51"/>
    <n v="38.04"/>
    <x v="3"/>
    <s v="Light"/>
    <x v="0"/>
  </r>
  <r>
    <s v="FUX-85791-078"/>
    <x v="156"/>
    <x v="350"/>
    <s v="A-M-0.2"/>
    <n v="2"/>
    <x v="350"/>
    <s v="whollingdaleaf@about.me"/>
    <x v="0"/>
    <s v="Ara"/>
    <x v="0"/>
    <x v="3"/>
    <n v="3.375"/>
    <n v="6.75"/>
    <x v="2"/>
    <s v="Medium"/>
    <x v="0"/>
  </r>
  <r>
    <s v="YXP-20078-116"/>
    <x v="314"/>
    <x v="351"/>
    <s v="R-M-0.5"/>
    <n v="1"/>
    <x v="351"/>
    <s v="jdeag@xrea.com"/>
    <x v="0"/>
    <s v="Rob"/>
    <x v="0"/>
    <x v="1"/>
    <n v="5.97"/>
    <n v="5.97"/>
    <x v="0"/>
    <s v="Medium"/>
    <x v="0"/>
  </r>
  <r>
    <s v="VQV-59984-866"/>
    <x v="315"/>
    <x v="352"/>
    <s v="R-D-0.2"/>
    <n v="3"/>
    <x v="352"/>
    <s v="vskulletah@tinyurl.com"/>
    <x v="1"/>
    <s v="Rob"/>
    <x v="2"/>
    <x v="3"/>
    <n v="2.6849999999999996"/>
    <n v="8.0549999999999997"/>
    <x v="0"/>
    <s v="Dark"/>
    <x v="1"/>
  </r>
  <r>
    <s v="JEH-37276-048"/>
    <x v="316"/>
    <x v="353"/>
    <s v="A-L-0.5"/>
    <n v="3"/>
    <x v="353"/>
    <s v="jrudeforthai@wunderground.com"/>
    <x v="1"/>
    <s v="Ara"/>
    <x v="1"/>
    <x v="1"/>
    <n v="7.77"/>
    <n v="23.31"/>
    <x v="2"/>
    <s v="Light"/>
    <x v="0"/>
  </r>
  <r>
    <s v="VYD-28555-589"/>
    <x v="317"/>
    <x v="354"/>
    <s v="R-L-0.5"/>
    <n v="6"/>
    <x v="354"/>
    <s v="atomaszewskiaj@answers.com"/>
    <x v="2"/>
    <s v="Rob"/>
    <x v="1"/>
    <x v="1"/>
    <n v="7.169999999999999"/>
    <n v="43.019999999999996"/>
    <x v="0"/>
    <s v="Light"/>
    <x v="0"/>
  </r>
  <r>
    <s v="WUG-76466-650"/>
    <x v="318"/>
    <x v="306"/>
    <s v="L-D-0.5"/>
    <n v="3"/>
    <x v="306"/>
    <s v=""/>
    <x v="0"/>
    <s v="Lib"/>
    <x v="2"/>
    <x v="1"/>
    <n v="7.77"/>
    <n v="23.31"/>
    <x v="3"/>
    <s v="Dark"/>
    <x v="1"/>
  </r>
  <r>
    <s v="RJV-08261-583"/>
    <x v="182"/>
    <x v="355"/>
    <s v="A-D-0.2"/>
    <n v="5"/>
    <x v="355"/>
    <s v="pbessal@qq.com"/>
    <x v="0"/>
    <s v="Ara"/>
    <x v="2"/>
    <x v="3"/>
    <n v="2.9849999999999999"/>
    <n v="14.924999999999999"/>
    <x v="2"/>
    <s v="Dark"/>
    <x v="0"/>
  </r>
  <r>
    <s v="PMR-56062-609"/>
    <x v="319"/>
    <x v="356"/>
    <s v="E-D-0.5"/>
    <n v="3"/>
    <x v="356"/>
    <s v="ewindressam@marketwatch.com"/>
    <x v="0"/>
    <s v="Exc"/>
    <x v="2"/>
    <x v="1"/>
    <n v="7.29"/>
    <n v="21.87"/>
    <x v="1"/>
    <s v="Dark"/>
    <x v="1"/>
  </r>
  <r>
    <s v="XLD-12920-505"/>
    <x v="320"/>
    <x v="357"/>
    <s v="E-L-0.5"/>
    <n v="6"/>
    <x v="357"/>
    <s v=""/>
    <x v="0"/>
    <s v="Exc"/>
    <x v="1"/>
    <x v="1"/>
    <n v="8.91"/>
    <n v="53.46"/>
    <x v="1"/>
    <s v="Light"/>
    <x v="0"/>
  </r>
  <r>
    <s v="UBW-50312-037"/>
    <x v="321"/>
    <x v="358"/>
    <s v="A-L-2.5"/>
    <n v="4"/>
    <x v="358"/>
    <s v=""/>
    <x v="0"/>
    <s v="Ara"/>
    <x v="1"/>
    <x v="2"/>
    <n v="29.784999999999997"/>
    <n v="119.13999999999999"/>
    <x v="2"/>
    <s v="Light"/>
    <x v="1"/>
  </r>
  <r>
    <s v="QAW-05889-019"/>
    <x v="322"/>
    <x v="359"/>
    <s v="L-M-0.5"/>
    <n v="5"/>
    <x v="359"/>
    <s v="vbaumadierap@google.cn"/>
    <x v="0"/>
    <s v="Lib"/>
    <x v="0"/>
    <x v="1"/>
    <n v="8.73"/>
    <n v="43.650000000000006"/>
    <x v="3"/>
    <s v="Medium"/>
    <x v="0"/>
  </r>
  <r>
    <s v="EPT-12715-397"/>
    <x v="128"/>
    <x v="360"/>
    <s v="A-D-0.2"/>
    <n v="6"/>
    <x v="360"/>
    <s v=""/>
    <x v="0"/>
    <s v="Ara"/>
    <x v="2"/>
    <x v="3"/>
    <n v="2.9849999999999999"/>
    <n v="17.91"/>
    <x v="2"/>
    <s v="Dark"/>
    <x v="0"/>
  </r>
  <r>
    <s v="DHT-93810-053"/>
    <x v="323"/>
    <x v="361"/>
    <s v="E-L-1"/>
    <n v="5"/>
    <x v="361"/>
    <s v="sweldsar@wired.com"/>
    <x v="0"/>
    <s v="Exc"/>
    <x v="1"/>
    <x v="0"/>
    <n v="14.85"/>
    <n v="74.25"/>
    <x v="1"/>
    <s v="Light"/>
    <x v="0"/>
  </r>
  <r>
    <s v="DMY-96037-963"/>
    <x v="324"/>
    <x v="362"/>
    <s v="L-D-0.2"/>
    <n v="3"/>
    <x v="362"/>
    <s v="msarvaras@artisteer.com"/>
    <x v="0"/>
    <s v="Lib"/>
    <x v="2"/>
    <x v="3"/>
    <n v="3.8849999999999998"/>
    <n v="11.654999999999999"/>
    <x v="3"/>
    <s v="Dark"/>
    <x v="0"/>
  </r>
  <r>
    <s v="MBM-55936-917"/>
    <x v="325"/>
    <x v="363"/>
    <s v="L-D-0.5"/>
    <n v="3"/>
    <x v="363"/>
    <s v="ahavickat@nsw.gov.au"/>
    <x v="0"/>
    <s v="Lib"/>
    <x v="2"/>
    <x v="1"/>
    <n v="7.77"/>
    <n v="23.31"/>
    <x v="3"/>
    <s v="Dark"/>
    <x v="0"/>
  </r>
  <r>
    <s v="TPA-93614-840"/>
    <x v="326"/>
    <x v="364"/>
    <s v="E-D-0.5"/>
    <n v="2"/>
    <x v="364"/>
    <s v="sdivinyau@ask.com"/>
    <x v="0"/>
    <s v="Exc"/>
    <x v="2"/>
    <x v="1"/>
    <n v="7.29"/>
    <n v="14.58"/>
    <x v="1"/>
    <s v="Dark"/>
    <x v="0"/>
  </r>
  <r>
    <s v="WDM-77521-710"/>
    <x v="327"/>
    <x v="365"/>
    <s v="A-M-0.5"/>
    <n v="2"/>
    <x v="365"/>
    <s v="inorquoyav@businessweek.com"/>
    <x v="0"/>
    <s v="Ara"/>
    <x v="0"/>
    <x v="1"/>
    <n v="6.75"/>
    <n v="13.5"/>
    <x v="2"/>
    <s v="Medium"/>
    <x v="1"/>
  </r>
  <r>
    <s v="EIP-19142-462"/>
    <x v="328"/>
    <x v="366"/>
    <s v="E-L-1"/>
    <n v="6"/>
    <x v="366"/>
    <s v="aiddisonaw@usa.gov"/>
    <x v="0"/>
    <s v="Exc"/>
    <x v="1"/>
    <x v="0"/>
    <n v="14.85"/>
    <n v="89.1"/>
    <x v="1"/>
    <s v="Light"/>
    <x v="1"/>
  </r>
  <r>
    <s v="EIP-19142-462"/>
    <x v="328"/>
    <x v="366"/>
    <s v="A-L-0.2"/>
    <n v="1"/>
    <x v="366"/>
    <s v="aiddisonaw@usa.gov"/>
    <x v="0"/>
    <s v="Ara"/>
    <x v="1"/>
    <x v="3"/>
    <n v="3.8849999999999998"/>
    <n v="3.8849999999999998"/>
    <x v="2"/>
    <s v="Light"/>
    <x v="1"/>
  </r>
  <r>
    <s v="ZZL-76364-387"/>
    <x v="128"/>
    <x v="367"/>
    <s v="R-L-2.5"/>
    <n v="4"/>
    <x v="367"/>
    <s v="rlongfielday@bluehost.com"/>
    <x v="0"/>
    <s v="Rob"/>
    <x v="1"/>
    <x v="2"/>
    <n v="27.484999999999996"/>
    <n v="109.93999999999998"/>
    <x v="0"/>
    <s v="Light"/>
    <x v="1"/>
  </r>
  <r>
    <s v="GMF-18638-786"/>
    <x v="329"/>
    <x v="368"/>
    <s v="L-D-0.5"/>
    <n v="6"/>
    <x v="368"/>
    <s v="gkislingburyaz@samsung.com"/>
    <x v="0"/>
    <s v="Lib"/>
    <x v="2"/>
    <x v="1"/>
    <n v="7.77"/>
    <n v="46.62"/>
    <x v="3"/>
    <s v="Dark"/>
    <x v="0"/>
  </r>
  <r>
    <s v="TDJ-20844-787"/>
    <x v="330"/>
    <x v="369"/>
    <s v="A-L-0.5"/>
    <n v="5"/>
    <x v="369"/>
    <s v="xgibbonsb0@artisteer.com"/>
    <x v="0"/>
    <s v="Ara"/>
    <x v="1"/>
    <x v="1"/>
    <n v="7.77"/>
    <n v="38.849999999999994"/>
    <x v="2"/>
    <s v="Light"/>
    <x v="1"/>
  </r>
  <r>
    <s v="BWK-39400-446"/>
    <x v="331"/>
    <x v="370"/>
    <s v="L-D-0.5"/>
    <n v="4"/>
    <x v="370"/>
    <s v="fparresb1@imageshack.us"/>
    <x v="0"/>
    <s v="Lib"/>
    <x v="2"/>
    <x v="1"/>
    <n v="7.77"/>
    <n v="31.08"/>
    <x v="3"/>
    <s v="Dark"/>
    <x v="0"/>
  </r>
  <r>
    <s v="LCB-02099-995"/>
    <x v="332"/>
    <x v="371"/>
    <s v="A-D-0.2"/>
    <n v="6"/>
    <x v="371"/>
    <s v="gsibrayb2@wsj.com"/>
    <x v="0"/>
    <s v="Ara"/>
    <x v="2"/>
    <x v="3"/>
    <n v="2.9849999999999999"/>
    <n v="17.91"/>
    <x v="2"/>
    <s v="Dark"/>
    <x v="0"/>
  </r>
  <r>
    <s v="UBA-43678-174"/>
    <x v="333"/>
    <x v="372"/>
    <s v="E-D-2.5"/>
    <n v="6"/>
    <x v="372"/>
    <s v="ihotchkinb3@mit.edu"/>
    <x v="2"/>
    <s v="Exc"/>
    <x v="2"/>
    <x v="2"/>
    <n v="27.945"/>
    <n v="167.67000000000002"/>
    <x v="1"/>
    <s v="Dark"/>
    <x v="1"/>
  </r>
  <r>
    <s v="UDH-24280-432"/>
    <x v="334"/>
    <x v="373"/>
    <s v="L-L-1"/>
    <n v="4"/>
    <x v="373"/>
    <s v="nbroadberrieb4@gnu.org"/>
    <x v="0"/>
    <s v="Lib"/>
    <x v="1"/>
    <x v="0"/>
    <n v="15.85"/>
    <n v="63.4"/>
    <x v="3"/>
    <s v="Light"/>
    <x v="1"/>
  </r>
  <r>
    <s v="IDQ-20193-502"/>
    <x v="335"/>
    <x v="374"/>
    <s v="L-M-0.2"/>
    <n v="2"/>
    <x v="374"/>
    <s v="rpithcockb5@yellowbook.com"/>
    <x v="0"/>
    <s v="Lib"/>
    <x v="0"/>
    <x v="3"/>
    <n v="4.3650000000000002"/>
    <n v="8.73"/>
    <x v="3"/>
    <s v="Medium"/>
    <x v="0"/>
  </r>
  <r>
    <s v="DJG-14442-608"/>
    <x v="336"/>
    <x v="375"/>
    <s v="R-D-1"/>
    <n v="3"/>
    <x v="375"/>
    <s v="gcroysdaleb6@nih.gov"/>
    <x v="0"/>
    <s v="Rob"/>
    <x v="2"/>
    <x v="0"/>
    <n v="8.9499999999999993"/>
    <n v="26.849999999999998"/>
    <x v="0"/>
    <s v="Dark"/>
    <x v="0"/>
  </r>
  <r>
    <s v="DWB-61381-370"/>
    <x v="337"/>
    <x v="376"/>
    <s v="L-L-0.2"/>
    <n v="2"/>
    <x v="376"/>
    <s v="bgozzettb7@github.com"/>
    <x v="0"/>
    <s v="Lib"/>
    <x v="1"/>
    <x v="3"/>
    <n v="4.7549999999999999"/>
    <n v="9.51"/>
    <x v="3"/>
    <s v="Light"/>
    <x v="1"/>
  </r>
  <r>
    <s v="FRD-17347-990"/>
    <x v="80"/>
    <x v="377"/>
    <s v="A-D-1"/>
    <n v="4"/>
    <x v="377"/>
    <s v="tcraggsb8@house.gov"/>
    <x v="1"/>
    <s v="Ara"/>
    <x v="2"/>
    <x v="0"/>
    <n v="9.9499999999999993"/>
    <n v="39.799999999999997"/>
    <x v="2"/>
    <s v="Dark"/>
    <x v="1"/>
  </r>
  <r>
    <s v="YPP-27450-525"/>
    <x v="338"/>
    <x v="378"/>
    <s v="E-M-0.5"/>
    <n v="3"/>
    <x v="378"/>
    <s v="lcullrfordb9@xing.com"/>
    <x v="0"/>
    <s v="Exc"/>
    <x v="0"/>
    <x v="1"/>
    <n v="8.25"/>
    <n v="24.75"/>
    <x v="1"/>
    <s v="Medium"/>
    <x v="0"/>
  </r>
  <r>
    <s v="EFC-39577-424"/>
    <x v="339"/>
    <x v="379"/>
    <s v="E-M-1"/>
    <n v="5"/>
    <x v="379"/>
    <s v="arizonba@xing.com"/>
    <x v="0"/>
    <s v="Exc"/>
    <x v="0"/>
    <x v="0"/>
    <n v="13.75"/>
    <n v="68.75"/>
    <x v="1"/>
    <s v="Medium"/>
    <x v="0"/>
  </r>
  <r>
    <s v="LAW-80062-016"/>
    <x v="340"/>
    <x v="380"/>
    <s v="E-M-0.5"/>
    <n v="6"/>
    <x v="380"/>
    <s v=""/>
    <x v="1"/>
    <s v="Exc"/>
    <x v="0"/>
    <x v="1"/>
    <n v="8.25"/>
    <n v="49.5"/>
    <x v="1"/>
    <s v="Medium"/>
    <x v="1"/>
  </r>
  <r>
    <s v="WKL-27981-758"/>
    <x v="177"/>
    <x v="381"/>
    <s v="A-M-2.5"/>
    <n v="2"/>
    <x v="381"/>
    <s v="fmiellbc@spiegel.de"/>
    <x v="0"/>
    <s v="Ara"/>
    <x v="0"/>
    <x v="2"/>
    <n v="25.874999999999996"/>
    <n v="51.749999999999993"/>
    <x v="2"/>
    <s v="Medium"/>
    <x v="0"/>
  </r>
  <r>
    <s v="VRT-39834-265"/>
    <x v="341"/>
    <x v="382"/>
    <s v="L-L-1"/>
    <n v="3"/>
    <x v="382"/>
    <s v=""/>
    <x v="1"/>
    <s v="Lib"/>
    <x v="1"/>
    <x v="0"/>
    <n v="15.85"/>
    <n v="47.55"/>
    <x v="3"/>
    <s v="Light"/>
    <x v="0"/>
  </r>
  <r>
    <s v="QTC-71005-730"/>
    <x v="342"/>
    <x v="383"/>
    <s v="A-L-0.2"/>
    <n v="4"/>
    <x v="383"/>
    <s v=""/>
    <x v="0"/>
    <s v="Ara"/>
    <x v="1"/>
    <x v="3"/>
    <n v="3.8849999999999998"/>
    <n v="15.54"/>
    <x v="2"/>
    <s v="Light"/>
    <x v="1"/>
  </r>
  <r>
    <s v="TNX-09857-717"/>
    <x v="343"/>
    <x v="384"/>
    <s v="L-M-1"/>
    <n v="6"/>
    <x v="384"/>
    <s v=""/>
    <x v="0"/>
    <s v="Lib"/>
    <x v="0"/>
    <x v="0"/>
    <n v="14.55"/>
    <n v="87.300000000000011"/>
    <x v="3"/>
    <s v="Medium"/>
    <x v="0"/>
  </r>
  <r>
    <s v="JZV-43874-185"/>
    <x v="344"/>
    <x v="385"/>
    <s v="A-M-1"/>
    <n v="5"/>
    <x v="385"/>
    <s v=""/>
    <x v="0"/>
    <s v="Ara"/>
    <x v="0"/>
    <x v="0"/>
    <n v="11.25"/>
    <n v="56.25"/>
    <x v="2"/>
    <s v="Medium"/>
    <x v="0"/>
  </r>
  <r>
    <s v="ICF-17486-106"/>
    <x v="47"/>
    <x v="386"/>
    <s v="L-L-2.5"/>
    <n v="1"/>
    <x v="386"/>
    <s v="wspringallbh@jugem.jp"/>
    <x v="0"/>
    <s v="Lib"/>
    <x v="1"/>
    <x v="2"/>
    <n v="36.454999999999998"/>
    <n v="36.454999999999998"/>
    <x v="3"/>
    <s v="Light"/>
    <x v="0"/>
  </r>
  <r>
    <s v="BMK-49520-383"/>
    <x v="345"/>
    <x v="387"/>
    <s v="R-L-0.2"/>
    <n v="3"/>
    <x v="387"/>
    <s v=""/>
    <x v="0"/>
    <s v="Rob"/>
    <x v="1"/>
    <x v="3"/>
    <n v="3.5849999999999995"/>
    <n v="10.754999999999999"/>
    <x v="0"/>
    <s v="Light"/>
    <x v="0"/>
  </r>
  <r>
    <s v="HTS-15020-632"/>
    <x v="169"/>
    <x v="388"/>
    <s v="R-M-0.2"/>
    <n v="3"/>
    <x v="388"/>
    <s v="ghawkyensbj@census.gov"/>
    <x v="0"/>
    <s v="Rob"/>
    <x v="0"/>
    <x v="3"/>
    <n v="2.9849999999999999"/>
    <n v="8.9550000000000001"/>
    <x v="0"/>
    <s v="Medium"/>
    <x v="1"/>
  </r>
  <r>
    <s v="YLE-18247-749"/>
    <x v="346"/>
    <x v="389"/>
    <s v="A-L-0.5"/>
    <n v="3"/>
    <x v="389"/>
    <s v=""/>
    <x v="0"/>
    <s v="Ara"/>
    <x v="1"/>
    <x v="1"/>
    <n v="7.77"/>
    <n v="23.31"/>
    <x v="2"/>
    <s v="Light"/>
    <x v="0"/>
  </r>
  <r>
    <s v="KJJ-12573-591"/>
    <x v="347"/>
    <x v="390"/>
    <s v="A-L-2.5"/>
    <n v="1"/>
    <x v="390"/>
    <s v=""/>
    <x v="0"/>
    <s v="Ara"/>
    <x v="1"/>
    <x v="2"/>
    <n v="29.784999999999997"/>
    <n v="29.784999999999997"/>
    <x v="2"/>
    <s v="Light"/>
    <x v="0"/>
  </r>
  <r>
    <s v="RGU-43561-950"/>
    <x v="348"/>
    <x v="391"/>
    <s v="A-L-2.5"/>
    <n v="5"/>
    <x v="391"/>
    <s v="bmcgilvrabm@so-net.ne.jp"/>
    <x v="0"/>
    <s v="Ara"/>
    <x v="1"/>
    <x v="2"/>
    <n v="29.784999999999997"/>
    <n v="148.92499999999998"/>
    <x v="2"/>
    <s v="Light"/>
    <x v="0"/>
  </r>
  <r>
    <s v="JSN-73975-443"/>
    <x v="349"/>
    <x v="392"/>
    <s v="L-M-0.5"/>
    <n v="1"/>
    <x v="392"/>
    <s v="adanzeybn@github.com"/>
    <x v="0"/>
    <s v="Lib"/>
    <x v="0"/>
    <x v="1"/>
    <n v="8.73"/>
    <n v="8.73"/>
    <x v="3"/>
    <s v="Medium"/>
    <x v="0"/>
  </r>
  <r>
    <s v="WNR-71736-993"/>
    <x v="350"/>
    <x v="347"/>
    <s v="L-D-0.5"/>
    <n v="4"/>
    <x v="347"/>
    <s v="tfarraac@behance.net"/>
    <x v="0"/>
    <s v="Lib"/>
    <x v="2"/>
    <x v="1"/>
    <n v="7.77"/>
    <n v="31.08"/>
    <x v="3"/>
    <s v="Dark"/>
    <x v="1"/>
  </r>
  <r>
    <s v="WNR-71736-993"/>
    <x v="350"/>
    <x v="347"/>
    <s v="A-D-2.5"/>
    <n v="6"/>
    <x v="347"/>
    <s v="tfarraac@behance.net"/>
    <x v="0"/>
    <s v="Ara"/>
    <x v="2"/>
    <x v="2"/>
    <n v="22.884999999999998"/>
    <n v="137.31"/>
    <x v="2"/>
    <s v="Dark"/>
    <x v="1"/>
  </r>
  <r>
    <s v="HNI-91338-546"/>
    <x v="54"/>
    <x v="393"/>
    <s v="A-D-0.5"/>
    <n v="5"/>
    <x v="393"/>
    <s v=""/>
    <x v="0"/>
    <s v="Ara"/>
    <x v="2"/>
    <x v="1"/>
    <n v="5.97"/>
    <n v="29.849999999999998"/>
    <x v="2"/>
    <s v="Dark"/>
    <x v="1"/>
  </r>
  <r>
    <s v="CYH-53243-218"/>
    <x v="237"/>
    <x v="394"/>
    <s v="R-M-0.5"/>
    <n v="3"/>
    <x v="394"/>
    <s v=""/>
    <x v="0"/>
    <s v="Rob"/>
    <x v="0"/>
    <x v="1"/>
    <n v="5.97"/>
    <n v="17.91"/>
    <x v="0"/>
    <s v="Medium"/>
    <x v="1"/>
  </r>
  <r>
    <s v="SVD-75407-177"/>
    <x v="351"/>
    <x v="395"/>
    <s v="E-L-0.5"/>
    <n v="3"/>
    <x v="395"/>
    <s v="ydombrellbs@dedecms.com"/>
    <x v="0"/>
    <s v="Exc"/>
    <x v="1"/>
    <x v="1"/>
    <n v="8.91"/>
    <n v="26.73"/>
    <x v="1"/>
    <s v="Light"/>
    <x v="0"/>
  </r>
  <r>
    <s v="NVN-66443-451"/>
    <x v="352"/>
    <x v="396"/>
    <s v="R-D-1"/>
    <n v="2"/>
    <x v="396"/>
    <s v="adarthbt@t.co"/>
    <x v="0"/>
    <s v="Rob"/>
    <x v="2"/>
    <x v="0"/>
    <n v="8.9499999999999993"/>
    <n v="17.899999999999999"/>
    <x v="0"/>
    <s v="Dark"/>
    <x v="1"/>
  </r>
  <r>
    <s v="JUA-13580-095"/>
    <x v="102"/>
    <x v="397"/>
    <s v="R-L-0.2"/>
    <n v="4"/>
    <x v="397"/>
    <s v="mdarrigoebu@hud.gov"/>
    <x v="1"/>
    <s v="Rob"/>
    <x v="1"/>
    <x v="3"/>
    <n v="3.5849999999999995"/>
    <n v="14.339999999999998"/>
    <x v="0"/>
    <s v="Light"/>
    <x v="0"/>
  </r>
  <r>
    <s v="ACY-56225-839"/>
    <x v="353"/>
    <x v="398"/>
    <s v="A-M-2.5"/>
    <n v="3"/>
    <x v="398"/>
    <s v=""/>
    <x v="0"/>
    <s v="Ara"/>
    <x v="0"/>
    <x v="2"/>
    <n v="25.874999999999996"/>
    <n v="77.624999999999986"/>
    <x v="2"/>
    <s v="Medium"/>
    <x v="0"/>
  </r>
  <r>
    <s v="QBB-07903-622"/>
    <x v="354"/>
    <x v="399"/>
    <s v="R-L-1"/>
    <n v="5"/>
    <x v="399"/>
    <s v="mackrillbw@bandcamp.com"/>
    <x v="0"/>
    <s v="Rob"/>
    <x v="1"/>
    <x v="0"/>
    <n v="11.95"/>
    <n v="59.75"/>
    <x v="0"/>
    <s v="Light"/>
    <x v="1"/>
  </r>
  <r>
    <s v="JLJ-81802-619"/>
    <x v="135"/>
    <x v="347"/>
    <s v="A-L-1"/>
    <n v="6"/>
    <x v="347"/>
    <s v="tfarraac@behance.net"/>
    <x v="0"/>
    <s v="Ara"/>
    <x v="1"/>
    <x v="0"/>
    <n v="12.95"/>
    <n v="77.699999999999989"/>
    <x v="2"/>
    <s v="Light"/>
    <x v="1"/>
  </r>
  <r>
    <s v="HFT-77191-168"/>
    <x v="343"/>
    <x v="400"/>
    <s v="R-D-0.2"/>
    <n v="2"/>
    <x v="400"/>
    <s v="mkippenby@dion.ne.jp"/>
    <x v="0"/>
    <s v="Rob"/>
    <x v="2"/>
    <x v="3"/>
    <n v="2.6849999999999996"/>
    <n v="5.3699999999999992"/>
    <x v="0"/>
    <s v="Dark"/>
    <x v="0"/>
  </r>
  <r>
    <s v="SZR-35951-530"/>
    <x v="89"/>
    <x v="401"/>
    <s v="E-D-2.5"/>
    <n v="3"/>
    <x v="401"/>
    <s v="wransonbz@ted.com"/>
    <x v="1"/>
    <s v="Exc"/>
    <x v="2"/>
    <x v="2"/>
    <n v="27.945"/>
    <n v="83.835000000000008"/>
    <x v="1"/>
    <s v="Dark"/>
    <x v="0"/>
  </r>
  <r>
    <s v="IKL-95976-565"/>
    <x v="355"/>
    <x v="402"/>
    <s v="A-M-1"/>
    <n v="2"/>
    <x v="402"/>
    <s v=""/>
    <x v="0"/>
    <s v="Ara"/>
    <x v="0"/>
    <x v="0"/>
    <n v="11.25"/>
    <n v="22.5"/>
    <x v="2"/>
    <s v="Medium"/>
    <x v="1"/>
  </r>
  <r>
    <s v="XEY-48929-474"/>
    <x v="204"/>
    <x v="403"/>
    <s v="L-M-2.5"/>
    <n v="6"/>
    <x v="403"/>
    <s v="lrignoldc1@miibeian.gov.cn"/>
    <x v="0"/>
    <s v="Lib"/>
    <x v="0"/>
    <x v="2"/>
    <n v="33.464999999999996"/>
    <n v="200.78999999999996"/>
    <x v="3"/>
    <s v="Medium"/>
    <x v="0"/>
  </r>
  <r>
    <s v="SQT-07286-736"/>
    <x v="356"/>
    <x v="404"/>
    <s v="A-M-1"/>
    <n v="6"/>
    <x v="404"/>
    <s v=""/>
    <x v="0"/>
    <s v="Ara"/>
    <x v="0"/>
    <x v="0"/>
    <n v="11.25"/>
    <n v="67.5"/>
    <x v="2"/>
    <s v="Medium"/>
    <x v="1"/>
  </r>
  <r>
    <s v="QDU-45390-361"/>
    <x v="357"/>
    <x v="405"/>
    <s v="E-M-0.5"/>
    <n v="1"/>
    <x v="405"/>
    <s v="crowthornc3@msn.com"/>
    <x v="0"/>
    <s v="Exc"/>
    <x v="0"/>
    <x v="1"/>
    <n v="8.25"/>
    <n v="8.25"/>
    <x v="1"/>
    <s v="Medium"/>
    <x v="1"/>
  </r>
  <r>
    <s v="RUJ-30649-712"/>
    <x v="300"/>
    <x v="406"/>
    <s v="L-L-0.2"/>
    <n v="2"/>
    <x v="406"/>
    <s v="orylandc4@deviantart.com"/>
    <x v="0"/>
    <s v="Lib"/>
    <x v="1"/>
    <x v="3"/>
    <n v="4.7549999999999999"/>
    <n v="9.51"/>
    <x v="3"/>
    <s v="Light"/>
    <x v="0"/>
  </r>
  <r>
    <s v="WSV-49732-075"/>
    <x v="358"/>
    <x v="407"/>
    <s v="L-D-2.5"/>
    <n v="1"/>
    <x v="407"/>
    <s v=""/>
    <x v="0"/>
    <s v="Lib"/>
    <x v="2"/>
    <x v="2"/>
    <n v="29.784999999999997"/>
    <n v="29.784999999999997"/>
    <x v="3"/>
    <s v="Dark"/>
    <x v="1"/>
  </r>
  <r>
    <s v="VJF-46305-323"/>
    <x v="161"/>
    <x v="408"/>
    <s v="L-D-0.5"/>
    <n v="2"/>
    <x v="408"/>
    <s v="msesonck@census.gov"/>
    <x v="0"/>
    <s v="Lib"/>
    <x v="2"/>
    <x v="1"/>
    <n v="7.77"/>
    <n v="15.54"/>
    <x v="3"/>
    <s v="Dark"/>
    <x v="1"/>
  </r>
  <r>
    <s v="CXD-74176-600"/>
    <x v="129"/>
    <x v="409"/>
    <s v="E-L-0.5"/>
    <n v="4"/>
    <x v="409"/>
    <s v="craglessc7@webmd.com"/>
    <x v="1"/>
    <s v="Exc"/>
    <x v="1"/>
    <x v="1"/>
    <n v="8.91"/>
    <n v="35.64"/>
    <x v="1"/>
    <s v="Light"/>
    <x v="1"/>
  </r>
  <r>
    <s v="ADX-50674-975"/>
    <x v="359"/>
    <x v="410"/>
    <s v="A-M-2.5"/>
    <n v="4"/>
    <x v="410"/>
    <s v="fhollowsc8@blogtalkradio.com"/>
    <x v="0"/>
    <s v="Ara"/>
    <x v="0"/>
    <x v="2"/>
    <n v="25.874999999999996"/>
    <n v="103.49999999999999"/>
    <x v="2"/>
    <s v="Medium"/>
    <x v="0"/>
  </r>
  <r>
    <s v="RRP-51647-420"/>
    <x v="360"/>
    <x v="411"/>
    <s v="E-D-1"/>
    <n v="3"/>
    <x v="411"/>
    <s v="llathleiffc9@nationalgeographic.com"/>
    <x v="1"/>
    <s v="Exc"/>
    <x v="2"/>
    <x v="0"/>
    <n v="12.15"/>
    <n v="36.450000000000003"/>
    <x v="1"/>
    <s v="Dark"/>
    <x v="0"/>
  </r>
  <r>
    <s v="PKJ-99134-523"/>
    <x v="361"/>
    <x v="412"/>
    <s v="R-L-0.5"/>
    <n v="5"/>
    <x v="412"/>
    <s v="kheadsca@jalbum.net"/>
    <x v="0"/>
    <s v="Rob"/>
    <x v="1"/>
    <x v="1"/>
    <n v="7.169999999999999"/>
    <n v="35.849999999999994"/>
    <x v="0"/>
    <s v="Light"/>
    <x v="1"/>
  </r>
  <r>
    <s v="FZQ-29439-457"/>
    <x v="362"/>
    <x v="413"/>
    <s v="E-L-0.2"/>
    <n v="5"/>
    <x v="413"/>
    <s v="tbownecb@unicef.org"/>
    <x v="1"/>
    <s v="Exc"/>
    <x v="1"/>
    <x v="3"/>
    <n v="4.4550000000000001"/>
    <n v="22.274999999999999"/>
    <x v="1"/>
    <s v="Light"/>
    <x v="0"/>
  </r>
  <r>
    <s v="USN-68115-161"/>
    <x v="363"/>
    <x v="414"/>
    <s v="E-M-0.2"/>
    <n v="6"/>
    <x v="414"/>
    <s v="rjacquemardcc@acquirethisname.com"/>
    <x v="1"/>
    <s v="Exc"/>
    <x v="0"/>
    <x v="3"/>
    <n v="4.125"/>
    <n v="24.75"/>
    <x v="1"/>
    <s v="Medium"/>
    <x v="1"/>
  </r>
  <r>
    <s v="IXU-20263-532"/>
    <x v="364"/>
    <x v="415"/>
    <s v="L-M-2.5"/>
    <n v="2"/>
    <x v="415"/>
    <s v="kwarmancd@printfriendly.com"/>
    <x v="1"/>
    <s v="Lib"/>
    <x v="0"/>
    <x v="2"/>
    <n v="33.464999999999996"/>
    <n v="66.929999999999993"/>
    <x v="3"/>
    <s v="Medium"/>
    <x v="0"/>
  </r>
  <r>
    <s v="CBT-15092-420"/>
    <x v="85"/>
    <x v="416"/>
    <s v="L-M-0.5"/>
    <n v="1"/>
    <x v="416"/>
    <s v="wcholomince@about.com"/>
    <x v="2"/>
    <s v="Lib"/>
    <x v="0"/>
    <x v="1"/>
    <n v="8.73"/>
    <n v="8.73"/>
    <x v="3"/>
    <s v="Medium"/>
    <x v="0"/>
  </r>
  <r>
    <s v="PKQ-46841-696"/>
    <x v="365"/>
    <x v="417"/>
    <s v="R-M-0.5"/>
    <n v="3"/>
    <x v="417"/>
    <s v="abraidmancf@census.gov"/>
    <x v="0"/>
    <s v="Rob"/>
    <x v="0"/>
    <x v="1"/>
    <n v="5.97"/>
    <n v="17.91"/>
    <x v="0"/>
    <s v="Medium"/>
    <x v="1"/>
  </r>
  <r>
    <s v="XDU-05471-219"/>
    <x v="366"/>
    <x v="418"/>
    <s v="R-L-0.5"/>
    <n v="1"/>
    <x v="418"/>
    <s v="pdurbancg@symantec.com"/>
    <x v="1"/>
    <s v="Rob"/>
    <x v="1"/>
    <x v="1"/>
    <n v="7.169999999999999"/>
    <n v="7.169999999999999"/>
    <x v="0"/>
    <s v="Light"/>
    <x v="1"/>
  </r>
  <r>
    <s v="NID-20149-329"/>
    <x v="367"/>
    <x v="419"/>
    <s v="R-D-0.2"/>
    <n v="2"/>
    <x v="419"/>
    <s v="aharroldch@miibeian.gov.cn"/>
    <x v="0"/>
    <s v="Rob"/>
    <x v="2"/>
    <x v="3"/>
    <n v="2.6849999999999996"/>
    <n v="5.3699999999999992"/>
    <x v="0"/>
    <s v="Dark"/>
    <x v="1"/>
  </r>
  <r>
    <s v="SVU-27222-213"/>
    <x v="142"/>
    <x v="420"/>
    <s v="L-L-0.2"/>
    <n v="5"/>
    <x v="420"/>
    <s v="spamphilonci@mlb.com"/>
    <x v="1"/>
    <s v="Lib"/>
    <x v="1"/>
    <x v="3"/>
    <n v="4.7549999999999999"/>
    <n v="23.774999999999999"/>
    <x v="3"/>
    <s v="Light"/>
    <x v="1"/>
  </r>
  <r>
    <s v="RWI-84131-848"/>
    <x v="368"/>
    <x v="421"/>
    <s v="R-D-2.5"/>
    <n v="2"/>
    <x v="421"/>
    <s v="mspurdencj@exblog.jp"/>
    <x v="0"/>
    <s v="Rob"/>
    <x v="2"/>
    <x v="2"/>
    <n v="20.584999999999997"/>
    <n v="41.169999999999995"/>
    <x v="0"/>
    <s v="Dark"/>
    <x v="0"/>
  </r>
  <r>
    <s v="GUU-40666-525"/>
    <x v="31"/>
    <x v="408"/>
    <s v="A-L-0.2"/>
    <n v="3"/>
    <x v="408"/>
    <s v="msesonck@census.gov"/>
    <x v="0"/>
    <s v="Ara"/>
    <x v="1"/>
    <x v="3"/>
    <n v="3.8849999999999998"/>
    <n v="11.654999999999999"/>
    <x v="2"/>
    <s v="Light"/>
    <x v="1"/>
  </r>
  <r>
    <s v="SCN-51395-066"/>
    <x v="369"/>
    <x v="422"/>
    <s v="L-L-0.5"/>
    <n v="4"/>
    <x v="422"/>
    <s v="npirronecl@weibo.com"/>
    <x v="0"/>
    <s v="Lib"/>
    <x v="1"/>
    <x v="1"/>
    <n v="9.51"/>
    <n v="38.04"/>
    <x v="3"/>
    <s v="Light"/>
    <x v="1"/>
  </r>
  <r>
    <s v="ULA-24644-321"/>
    <x v="370"/>
    <x v="423"/>
    <s v="R-D-2.5"/>
    <n v="4"/>
    <x v="423"/>
    <s v="rcawleycm@yellowbook.com"/>
    <x v="1"/>
    <s v="Rob"/>
    <x v="2"/>
    <x v="2"/>
    <n v="20.584999999999997"/>
    <n v="82.339999999999989"/>
    <x v="0"/>
    <s v="Dark"/>
    <x v="0"/>
  </r>
  <r>
    <s v="EOL-92666-762"/>
    <x v="371"/>
    <x v="424"/>
    <s v="L-L-0.2"/>
    <n v="2"/>
    <x v="424"/>
    <s v="sbarribalcn@microsoft.com"/>
    <x v="1"/>
    <s v="Lib"/>
    <x v="1"/>
    <x v="3"/>
    <n v="4.7549999999999999"/>
    <n v="9.51"/>
    <x v="3"/>
    <s v="Light"/>
    <x v="0"/>
  </r>
  <r>
    <s v="AJV-18231-334"/>
    <x v="372"/>
    <x v="425"/>
    <s v="R-D-2.5"/>
    <n v="2"/>
    <x v="425"/>
    <s v="aadamidesco@bizjournals.com"/>
    <x v="2"/>
    <s v="Rob"/>
    <x v="2"/>
    <x v="2"/>
    <n v="20.584999999999997"/>
    <n v="41.169999999999995"/>
    <x v="0"/>
    <s v="Dark"/>
    <x v="1"/>
  </r>
  <r>
    <s v="ZQI-47236-301"/>
    <x v="373"/>
    <x v="426"/>
    <s v="L-L-0.5"/>
    <n v="5"/>
    <x v="426"/>
    <s v="cthowescp@craigslist.org"/>
    <x v="0"/>
    <s v="Lib"/>
    <x v="1"/>
    <x v="1"/>
    <n v="9.51"/>
    <n v="47.55"/>
    <x v="3"/>
    <s v="Light"/>
    <x v="1"/>
  </r>
  <r>
    <s v="ZCR-15721-658"/>
    <x v="374"/>
    <x v="427"/>
    <s v="A-M-1"/>
    <n v="4"/>
    <x v="427"/>
    <s v="rwillowaycq@admin.ch"/>
    <x v="0"/>
    <s v="Ara"/>
    <x v="0"/>
    <x v="0"/>
    <n v="11.25"/>
    <n v="45"/>
    <x v="2"/>
    <s v="Medium"/>
    <x v="1"/>
  </r>
  <r>
    <s v="QEW-47945-682"/>
    <x v="319"/>
    <x v="428"/>
    <s v="L-L-0.2"/>
    <n v="5"/>
    <x v="428"/>
    <s v="aelwincr@privacy.gov.au"/>
    <x v="0"/>
    <s v="Lib"/>
    <x v="1"/>
    <x v="3"/>
    <n v="4.7549999999999999"/>
    <n v="23.774999999999999"/>
    <x v="3"/>
    <s v="Light"/>
    <x v="1"/>
  </r>
  <r>
    <s v="PSY-45485-542"/>
    <x v="375"/>
    <x v="429"/>
    <s v="R-D-0.5"/>
    <n v="3"/>
    <x v="429"/>
    <s v="abilbrookcs@booking.com"/>
    <x v="1"/>
    <s v="Rob"/>
    <x v="2"/>
    <x v="1"/>
    <n v="5.3699999999999992"/>
    <n v="16.11"/>
    <x v="0"/>
    <s v="Dark"/>
    <x v="0"/>
  </r>
  <r>
    <s v="BAQ-74241-156"/>
    <x v="376"/>
    <x v="430"/>
    <s v="R-D-0.2"/>
    <n v="4"/>
    <x v="430"/>
    <s v="rmckallct@sakura.ne.jp"/>
    <x v="2"/>
    <s v="Rob"/>
    <x v="2"/>
    <x v="3"/>
    <n v="2.6849999999999996"/>
    <n v="10.739999999999998"/>
    <x v="0"/>
    <s v="Dark"/>
    <x v="0"/>
  </r>
  <r>
    <s v="BVU-77367-451"/>
    <x v="377"/>
    <x v="431"/>
    <s v="A-D-1"/>
    <n v="5"/>
    <x v="431"/>
    <s v="bdailecu@vistaprint.com"/>
    <x v="0"/>
    <s v="Ara"/>
    <x v="2"/>
    <x v="0"/>
    <n v="9.9499999999999993"/>
    <n v="49.75"/>
    <x v="2"/>
    <s v="Dark"/>
    <x v="0"/>
  </r>
  <r>
    <s v="TJE-91516-344"/>
    <x v="378"/>
    <x v="432"/>
    <s v="E-M-1"/>
    <n v="2"/>
    <x v="432"/>
    <s v="atrehernecv@state.tx.us"/>
    <x v="1"/>
    <s v="Exc"/>
    <x v="0"/>
    <x v="0"/>
    <n v="13.75"/>
    <n v="27.5"/>
    <x v="1"/>
    <s v="Medium"/>
    <x v="1"/>
  </r>
  <r>
    <s v="LIS-96202-702"/>
    <x v="277"/>
    <x v="433"/>
    <s v="L-D-2.5"/>
    <n v="4"/>
    <x v="433"/>
    <s v="abrentnallcw@biglobe.ne.jp"/>
    <x v="2"/>
    <s v="Lib"/>
    <x v="2"/>
    <x v="2"/>
    <n v="29.784999999999997"/>
    <n v="119.13999999999999"/>
    <x v="3"/>
    <s v="Dark"/>
    <x v="1"/>
  </r>
  <r>
    <s v="VIO-27668-766"/>
    <x v="379"/>
    <x v="434"/>
    <s v="R-D-2.5"/>
    <n v="1"/>
    <x v="434"/>
    <s v="ddrinkallcx@psu.edu"/>
    <x v="0"/>
    <s v="Rob"/>
    <x v="2"/>
    <x v="2"/>
    <n v="20.584999999999997"/>
    <n v="20.584999999999997"/>
    <x v="0"/>
    <s v="Dark"/>
    <x v="0"/>
  </r>
  <r>
    <s v="ZVG-20473-043"/>
    <x v="86"/>
    <x v="435"/>
    <s v="A-D-0.2"/>
    <n v="3"/>
    <x v="435"/>
    <s v="dkornelcy@cyberchimps.com"/>
    <x v="0"/>
    <s v="Ara"/>
    <x v="2"/>
    <x v="3"/>
    <n v="2.9849999999999999"/>
    <n v="8.9550000000000001"/>
    <x v="2"/>
    <s v="Dark"/>
    <x v="0"/>
  </r>
  <r>
    <s v="KGZ-56395-231"/>
    <x v="380"/>
    <x v="436"/>
    <s v="A-D-0.5"/>
    <n v="1"/>
    <x v="436"/>
    <s v="rlequeuxcz@newyorker.com"/>
    <x v="0"/>
    <s v="Ara"/>
    <x v="2"/>
    <x v="1"/>
    <n v="5.97"/>
    <n v="5.97"/>
    <x v="2"/>
    <s v="Dark"/>
    <x v="1"/>
  </r>
  <r>
    <s v="CUU-92244-729"/>
    <x v="381"/>
    <x v="437"/>
    <s v="E-M-1"/>
    <n v="3"/>
    <x v="437"/>
    <s v="jmccaulld0@parallels.com"/>
    <x v="0"/>
    <s v="Exc"/>
    <x v="0"/>
    <x v="0"/>
    <n v="13.75"/>
    <n v="41.25"/>
    <x v="1"/>
    <s v="Medium"/>
    <x v="0"/>
  </r>
  <r>
    <s v="EHE-94714-312"/>
    <x v="382"/>
    <x v="438"/>
    <s v="E-L-0.2"/>
    <n v="5"/>
    <x v="438"/>
    <s v="abrashda@plala.or.jp"/>
    <x v="0"/>
    <s v="Exc"/>
    <x v="1"/>
    <x v="3"/>
    <n v="4.4550000000000001"/>
    <n v="22.274999999999999"/>
    <x v="1"/>
    <s v="Light"/>
    <x v="0"/>
  </r>
  <r>
    <s v="RTL-16205-161"/>
    <x v="11"/>
    <x v="439"/>
    <s v="A-M-0.5"/>
    <n v="1"/>
    <x v="439"/>
    <s v="ahutchinsond2@imgur.com"/>
    <x v="0"/>
    <s v="Ara"/>
    <x v="0"/>
    <x v="1"/>
    <n v="6.75"/>
    <n v="6.75"/>
    <x v="2"/>
    <s v="Medium"/>
    <x v="0"/>
  </r>
  <r>
    <s v="GTS-22482-014"/>
    <x v="167"/>
    <x v="440"/>
    <s v="L-M-2.5"/>
    <n v="4"/>
    <x v="440"/>
    <s v=""/>
    <x v="0"/>
    <s v="Lib"/>
    <x v="0"/>
    <x v="2"/>
    <n v="33.464999999999996"/>
    <n v="133.85999999999999"/>
    <x v="3"/>
    <s v="Medium"/>
    <x v="0"/>
  </r>
  <r>
    <s v="DYG-25473-881"/>
    <x v="383"/>
    <x v="441"/>
    <s v="A-D-0.2"/>
    <n v="2"/>
    <x v="441"/>
    <s v="rdriversd4@hexun.com"/>
    <x v="0"/>
    <s v="Ara"/>
    <x v="2"/>
    <x v="3"/>
    <n v="2.9849999999999999"/>
    <n v="5.97"/>
    <x v="2"/>
    <s v="Dark"/>
    <x v="1"/>
  </r>
  <r>
    <s v="HTR-21838-286"/>
    <x v="18"/>
    <x v="442"/>
    <s v="A-L-1"/>
    <n v="2"/>
    <x v="442"/>
    <s v="hzeald5@google.de"/>
    <x v="0"/>
    <s v="Ara"/>
    <x v="1"/>
    <x v="0"/>
    <n v="12.95"/>
    <n v="25.9"/>
    <x v="2"/>
    <s v="Light"/>
    <x v="1"/>
  </r>
  <r>
    <s v="KYG-28296-920"/>
    <x v="84"/>
    <x v="443"/>
    <s v="E-M-2.5"/>
    <n v="1"/>
    <x v="443"/>
    <s v="gsmallcombed6@ucla.edu"/>
    <x v="1"/>
    <s v="Exc"/>
    <x v="0"/>
    <x v="2"/>
    <n v="31.624999999999996"/>
    <n v="31.624999999999996"/>
    <x v="1"/>
    <s v="Medium"/>
    <x v="0"/>
  </r>
  <r>
    <s v="NNB-20459-430"/>
    <x v="384"/>
    <x v="444"/>
    <s v="L-M-0.2"/>
    <n v="2"/>
    <x v="444"/>
    <s v="ddibleyd7@feedburner.com"/>
    <x v="0"/>
    <s v="Lib"/>
    <x v="0"/>
    <x v="3"/>
    <n v="4.3650000000000002"/>
    <n v="8.73"/>
    <x v="3"/>
    <s v="Medium"/>
    <x v="1"/>
  </r>
  <r>
    <s v="FEK-14025-351"/>
    <x v="385"/>
    <x v="445"/>
    <s v="E-L-0.2"/>
    <n v="6"/>
    <x v="445"/>
    <s v="gdimitrioud8@chronoengine.com"/>
    <x v="0"/>
    <s v="Exc"/>
    <x v="1"/>
    <x v="3"/>
    <n v="4.4550000000000001"/>
    <n v="26.73"/>
    <x v="1"/>
    <s v="Light"/>
    <x v="0"/>
  </r>
  <r>
    <s v="AWH-16980-469"/>
    <x v="386"/>
    <x v="446"/>
    <s v="L-M-0.2"/>
    <n v="6"/>
    <x v="446"/>
    <s v="fflanagand9@woothemes.com"/>
    <x v="0"/>
    <s v="Lib"/>
    <x v="0"/>
    <x v="3"/>
    <n v="4.3650000000000002"/>
    <n v="26.19"/>
    <x v="3"/>
    <s v="Medium"/>
    <x v="1"/>
  </r>
  <r>
    <s v="ZPW-31329-741"/>
    <x v="387"/>
    <x v="438"/>
    <s v="R-D-1"/>
    <n v="6"/>
    <x v="438"/>
    <s v="abrashda@plala.or.jp"/>
    <x v="0"/>
    <s v="Rob"/>
    <x v="2"/>
    <x v="0"/>
    <n v="8.9499999999999993"/>
    <n v="53.699999999999996"/>
    <x v="0"/>
    <s v="Dark"/>
    <x v="0"/>
  </r>
  <r>
    <s v="ZPW-31329-741"/>
    <x v="387"/>
    <x v="438"/>
    <s v="E-M-2.5"/>
    <n v="4"/>
    <x v="438"/>
    <s v="abrashda@plala.or.jp"/>
    <x v="0"/>
    <s v="Exc"/>
    <x v="0"/>
    <x v="2"/>
    <n v="31.624999999999996"/>
    <n v="126.49999999999999"/>
    <x v="1"/>
    <s v="Medium"/>
    <x v="0"/>
  </r>
  <r>
    <s v="ZPW-31329-741"/>
    <x v="387"/>
    <x v="438"/>
    <s v="E-M-0.2"/>
    <n v="1"/>
    <x v="438"/>
    <s v="abrashda@plala.or.jp"/>
    <x v="0"/>
    <s v="Exc"/>
    <x v="0"/>
    <x v="3"/>
    <n v="4.125"/>
    <n v="4.125"/>
    <x v="1"/>
    <s v="Medium"/>
    <x v="0"/>
  </r>
  <r>
    <s v="UBI-83843-396"/>
    <x v="388"/>
    <x v="447"/>
    <s v="R-L-1"/>
    <n v="2"/>
    <x v="447"/>
    <s v="nizhakovdd@aol.com"/>
    <x v="2"/>
    <s v="Rob"/>
    <x v="1"/>
    <x v="0"/>
    <n v="11.95"/>
    <n v="23.9"/>
    <x v="0"/>
    <s v="Light"/>
    <x v="1"/>
  </r>
  <r>
    <s v="VID-40587-569"/>
    <x v="389"/>
    <x v="448"/>
    <s v="E-D-2.5"/>
    <n v="5"/>
    <x v="448"/>
    <s v="skeetsde@answers.com"/>
    <x v="0"/>
    <s v="Exc"/>
    <x v="2"/>
    <x v="2"/>
    <n v="27.945"/>
    <n v="139.72499999999999"/>
    <x v="1"/>
    <s v="Dark"/>
    <x v="0"/>
  </r>
  <r>
    <s v="KBB-52530-416"/>
    <x v="229"/>
    <x v="449"/>
    <s v="L-D-2.5"/>
    <n v="2"/>
    <x v="449"/>
    <s v=""/>
    <x v="0"/>
    <s v="Lib"/>
    <x v="2"/>
    <x v="2"/>
    <n v="29.784999999999997"/>
    <n v="59.569999999999993"/>
    <x v="3"/>
    <s v="Dark"/>
    <x v="0"/>
  </r>
  <r>
    <s v="ISJ-48676-420"/>
    <x v="390"/>
    <x v="450"/>
    <s v="L-L-0.5"/>
    <n v="6"/>
    <x v="450"/>
    <s v="kcakedg@huffingtonpost.com"/>
    <x v="0"/>
    <s v="Lib"/>
    <x v="1"/>
    <x v="1"/>
    <n v="9.51"/>
    <n v="57.06"/>
    <x v="3"/>
    <s v="Light"/>
    <x v="1"/>
  </r>
  <r>
    <s v="MIF-17920-768"/>
    <x v="391"/>
    <x v="451"/>
    <s v="R-L-0.2"/>
    <n v="6"/>
    <x v="451"/>
    <s v="mhanseddh@instagram.com"/>
    <x v="1"/>
    <s v="Rob"/>
    <x v="1"/>
    <x v="3"/>
    <n v="3.5849999999999995"/>
    <n v="21.509999999999998"/>
    <x v="0"/>
    <s v="Light"/>
    <x v="0"/>
  </r>
  <r>
    <s v="CPX-19312-088"/>
    <x v="117"/>
    <x v="452"/>
    <s v="L-M-0.5"/>
    <n v="6"/>
    <x v="452"/>
    <s v="fkienleindi@trellian.com"/>
    <x v="1"/>
    <s v="Lib"/>
    <x v="0"/>
    <x v="1"/>
    <n v="8.73"/>
    <n v="52.38"/>
    <x v="3"/>
    <s v="Medium"/>
    <x v="0"/>
  </r>
  <r>
    <s v="RXI-67978-260"/>
    <x v="392"/>
    <x v="453"/>
    <s v="E-D-1"/>
    <n v="6"/>
    <x v="453"/>
    <s v="kegglestonedj@sphinn.com"/>
    <x v="1"/>
    <s v="Exc"/>
    <x v="2"/>
    <x v="0"/>
    <n v="12.15"/>
    <n v="72.900000000000006"/>
    <x v="1"/>
    <s v="Dark"/>
    <x v="1"/>
  </r>
  <r>
    <s v="LKE-14821-285"/>
    <x v="393"/>
    <x v="454"/>
    <s v="R-M-0.2"/>
    <n v="5"/>
    <x v="454"/>
    <s v="bsemkinsdk@unc.edu"/>
    <x v="1"/>
    <s v="Rob"/>
    <x v="0"/>
    <x v="3"/>
    <n v="2.9849999999999999"/>
    <n v="14.924999999999999"/>
    <x v="0"/>
    <s v="Medium"/>
    <x v="0"/>
  </r>
  <r>
    <s v="LRK-97117-150"/>
    <x v="394"/>
    <x v="455"/>
    <s v="L-L-1"/>
    <n v="6"/>
    <x v="455"/>
    <s v="slorenzettidl@is.gd"/>
    <x v="0"/>
    <s v="Lib"/>
    <x v="1"/>
    <x v="0"/>
    <n v="15.85"/>
    <n v="95.1"/>
    <x v="3"/>
    <s v="Light"/>
    <x v="1"/>
  </r>
  <r>
    <s v="IGK-51227-573"/>
    <x v="137"/>
    <x v="456"/>
    <s v="L-D-0.5"/>
    <n v="2"/>
    <x v="456"/>
    <s v="bgiannazzidm@apple.com"/>
    <x v="0"/>
    <s v="Lib"/>
    <x v="2"/>
    <x v="1"/>
    <n v="7.77"/>
    <n v="15.54"/>
    <x v="3"/>
    <s v="Dark"/>
    <x v="1"/>
  </r>
  <r>
    <s v="ZAY-43009-775"/>
    <x v="395"/>
    <x v="457"/>
    <s v="L-D-0.2"/>
    <n v="6"/>
    <x v="457"/>
    <s v=""/>
    <x v="0"/>
    <s v="Lib"/>
    <x v="2"/>
    <x v="3"/>
    <n v="3.8849999999999998"/>
    <n v="23.31"/>
    <x v="3"/>
    <s v="Dark"/>
    <x v="1"/>
  </r>
  <r>
    <s v="EMA-63190-618"/>
    <x v="396"/>
    <x v="458"/>
    <s v="E-M-0.2"/>
    <n v="1"/>
    <x v="458"/>
    <s v="ulethbrigdo@hc360.com"/>
    <x v="0"/>
    <s v="Exc"/>
    <x v="0"/>
    <x v="3"/>
    <n v="4.125"/>
    <n v="4.125"/>
    <x v="1"/>
    <s v="Medium"/>
    <x v="0"/>
  </r>
  <r>
    <s v="FBI-35855-418"/>
    <x v="189"/>
    <x v="459"/>
    <s v="R-M-0.5"/>
    <n v="6"/>
    <x v="459"/>
    <s v="sfarnishdp@dmoz.org"/>
    <x v="2"/>
    <s v="Rob"/>
    <x v="0"/>
    <x v="1"/>
    <n v="5.97"/>
    <n v="35.82"/>
    <x v="0"/>
    <s v="Medium"/>
    <x v="1"/>
  </r>
  <r>
    <s v="TXB-80533-417"/>
    <x v="8"/>
    <x v="460"/>
    <s v="L-L-1"/>
    <n v="2"/>
    <x v="460"/>
    <s v="fjecockdq@unicef.org"/>
    <x v="0"/>
    <s v="Lib"/>
    <x v="1"/>
    <x v="0"/>
    <n v="15.85"/>
    <n v="31.7"/>
    <x v="3"/>
    <s v="Light"/>
    <x v="1"/>
  </r>
  <r>
    <s v="MBM-00112-248"/>
    <x v="397"/>
    <x v="461"/>
    <s v="L-L-1"/>
    <n v="5"/>
    <x v="461"/>
    <s v=""/>
    <x v="0"/>
    <s v="Lib"/>
    <x v="1"/>
    <x v="0"/>
    <n v="15.85"/>
    <n v="79.25"/>
    <x v="3"/>
    <s v="Light"/>
    <x v="0"/>
  </r>
  <r>
    <s v="EUO-69145-988"/>
    <x v="398"/>
    <x v="462"/>
    <s v="E-D-0.2"/>
    <n v="3"/>
    <x v="462"/>
    <s v="hpallisterds@ning.com"/>
    <x v="0"/>
    <s v="Exc"/>
    <x v="2"/>
    <x v="3"/>
    <n v="3.645"/>
    <n v="10.935"/>
    <x v="1"/>
    <s v="Dark"/>
    <x v="1"/>
  </r>
  <r>
    <s v="GYA-80327-368"/>
    <x v="399"/>
    <x v="463"/>
    <s v="A-D-1"/>
    <n v="4"/>
    <x v="463"/>
    <s v="cmershdt@drupal.org"/>
    <x v="1"/>
    <s v="Ara"/>
    <x v="2"/>
    <x v="0"/>
    <n v="9.9499999999999993"/>
    <n v="39.799999999999997"/>
    <x v="2"/>
    <s v="Dark"/>
    <x v="1"/>
  </r>
  <r>
    <s v="TNW-41601-420"/>
    <x v="400"/>
    <x v="464"/>
    <s v="R-M-1"/>
    <n v="5"/>
    <x v="464"/>
    <s v="murione5@alexa.com"/>
    <x v="1"/>
    <s v="Rob"/>
    <x v="0"/>
    <x v="0"/>
    <n v="9.9499999999999993"/>
    <n v="49.75"/>
    <x v="0"/>
    <s v="Medium"/>
    <x v="0"/>
  </r>
  <r>
    <s v="ALR-62963-723"/>
    <x v="401"/>
    <x v="465"/>
    <s v="R-D-0.2"/>
    <n v="3"/>
    <x v="465"/>
    <s v=""/>
    <x v="1"/>
    <s v="Rob"/>
    <x v="2"/>
    <x v="3"/>
    <n v="2.6849999999999996"/>
    <n v="8.0549999999999997"/>
    <x v="0"/>
    <s v="Dark"/>
    <x v="0"/>
  </r>
  <r>
    <s v="JIG-27636-870"/>
    <x v="402"/>
    <x v="466"/>
    <s v="R-L-1"/>
    <n v="4"/>
    <x v="466"/>
    <s v=""/>
    <x v="0"/>
    <s v="Rob"/>
    <x v="1"/>
    <x v="0"/>
    <n v="11.95"/>
    <n v="47.8"/>
    <x v="0"/>
    <s v="Light"/>
    <x v="1"/>
  </r>
  <r>
    <s v="CTE-31437-326"/>
    <x v="6"/>
    <x v="467"/>
    <s v="R-M-0.2"/>
    <n v="4"/>
    <x v="467"/>
    <s v="gduckerdx@patch.com"/>
    <x v="2"/>
    <s v="Rob"/>
    <x v="0"/>
    <x v="3"/>
    <n v="2.9849999999999999"/>
    <n v="11.94"/>
    <x v="0"/>
    <s v="Medium"/>
    <x v="1"/>
  </r>
  <r>
    <s v="CTE-31437-326"/>
    <x v="6"/>
    <x v="467"/>
    <s v="E-M-0.2"/>
    <n v="4"/>
    <x v="467"/>
    <s v="gduckerdx@patch.com"/>
    <x v="2"/>
    <s v="Exc"/>
    <x v="0"/>
    <x v="3"/>
    <n v="4.125"/>
    <n v="16.5"/>
    <x v="1"/>
    <s v="Medium"/>
    <x v="1"/>
  </r>
  <r>
    <s v="CTE-31437-326"/>
    <x v="6"/>
    <x v="467"/>
    <s v="L-D-1"/>
    <n v="4"/>
    <x v="467"/>
    <s v="gduckerdx@patch.com"/>
    <x v="2"/>
    <s v="Lib"/>
    <x v="2"/>
    <x v="0"/>
    <n v="12.95"/>
    <n v="51.8"/>
    <x v="3"/>
    <s v="Dark"/>
    <x v="1"/>
  </r>
  <r>
    <s v="CTE-31437-326"/>
    <x v="6"/>
    <x v="467"/>
    <s v="L-L-0.2"/>
    <n v="3"/>
    <x v="467"/>
    <s v="gduckerdx@patch.com"/>
    <x v="2"/>
    <s v="Lib"/>
    <x v="1"/>
    <x v="3"/>
    <n v="4.7549999999999999"/>
    <n v="14.265000000000001"/>
    <x v="3"/>
    <s v="Light"/>
    <x v="1"/>
  </r>
  <r>
    <s v="SLD-63003-334"/>
    <x v="403"/>
    <x v="468"/>
    <s v="L-M-0.2"/>
    <n v="6"/>
    <x v="468"/>
    <s v="wstearleye1@census.gov"/>
    <x v="0"/>
    <s v="Lib"/>
    <x v="0"/>
    <x v="3"/>
    <n v="4.3650000000000002"/>
    <n v="26.19"/>
    <x v="3"/>
    <s v="Medium"/>
    <x v="1"/>
  </r>
  <r>
    <s v="BXN-64230-789"/>
    <x v="404"/>
    <x v="469"/>
    <s v="A-L-1"/>
    <n v="2"/>
    <x v="469"/>
    <s v="dwincere2@marriott.com"/>
    <x v="0"/>
    <s v="Ara"/>
    <x v="1"/>
    <x v="0"/>
    <n v="12.95"/>
    <n v="25.9"/>
    <x v="2"/>
    <s v="Light"/>
    <x v="0"/>
  </r>
  <r>
    <s v="XEE-37895-169"/>
    <x v="21"/>
    <x v="470"/>
    <s v="A-L-2.5"/>
    <n v="3"/>
    <x v="470"/>
    <s v="plyfielde3@baidu.com"/>
    <x v="0"/>
    <s v="Ara"/>
    <x v="1"/>
    <x v="2"/>
    <n v="29.784999999999997"/>
    <n v="89.35499999999999"/>
    <x v="2"/>
    <s v="Light"/>
    <x v="0"/>
  </r>
  <r>
    <s v="ZTX-80764-911"/>
    <x v="239"/>
    <x v="471"/>
    <s v="L-D-0.5"/>
    <n v="6"/>
    <x v="471"/>
    <s v="hperrise4@studiopress.com"/>
    <x v="1"/>
    <s v="Lib"/>
    <x v="2"/>
    <x v="1"/>
    <n v="7.77"/>
    <n v="46.62"/>
    <x v="3"/>
    <s v="Dark"/>
    <x v="1"/>
  </r>
  <r>
    <s v="WVT-88135-549"/>
    <x v="405"/>
    <x v="464"/>
    <s v="A-D-1"/>
    <n v="3"/>
    <x v="464"/>
    <s v="murione5@alexa.com"/>
    <x v="1"/>
    <s v="Ara"/>
    <x v="2"/>
    <x v="0"/>
    <n v="9.9499999999999993"/>
    <n v="29.849999999999998"/>
    <x v="2"/>
    <s v="Dark"/>
    <x v="0"/>
  </r>
  <r>
    <s v="IPA-94170-889"/>
    <x v="292"/>
    <x v="472"/>
    <s v="R-L-0.2"/>
    <n v="3"/>
    <x v="472"/>
    <s v="ckide6@narod.ru"/>
    <x v="1"/>
    <s v="Rob"/>
    <x v="1"/>
    <x v="3"/>
    <n v="3.5849999999999995"/>
    <n v="10.754999999999999"/>
    <x v="0"/>
    <s v="Light"/>
    <x v="0"/>
  </r>
  <r>
    <s v="YQL-63755-365"/>
    <x v="117"/>
    <x v="473"/>
    <s v="A-M-0.2"/>
    <n v="4"/>
    <x v="473"/>
    <s v="cbeinee7@xinhuanet.com"/>
    <x v="0"/>
    <s v="Ara"/>
    <x v="0"/>
    <x v="3"/>
    <n v="3.375"/>
    <n v="13.5"/>
    <x v="2"/>
    <s v="Medium"/>
    <x v="0"/>
  </r>
  <r>
    <s v="RKW-81145-984"/>
    <x v="406"/>
    <x v="474"/>
    <s v="L-L-1"/>
    <n v="3"/>
    <x v="474"/>
    <s v="cbakeupe8@globo.com"/>
    <x v="0"/>
    <s v="Lib"/>
    <x v="1"/>
    <x v="0"/>
    <n v="15.85"/>
    <n v="47.55"/>
    <x v="3"/>
    <s v="Light"/>
    <x v="1"/>
  </r>
  <r>
    <s v="MBT-23379-866"/>
    <x v="407"/>
    <x v="475"/>
    <s v="L-L-1"/>
    <n v="5"/>
    <x v="475"/>
    <s v="nhelkine9@example.com"/>
    <x v="0"/>
    <s v="Lib"/>
    <x v="1"/>
    <x v="0"/>
    <n v="15.85"/>
    <n v="79.25"/>
    <x v="3"/>
    <s v="Light"/>
    <x v="1"/>
  </r>
  <r>
    <s v="GEJ-39834-935"/>
    <x v="408"/>
    <x v="476"/>
    <s v="L-M-0.2"/>
    <n v="6"/>
    <x v="476"/>
    <s v="pwitheringtonea@networkadvertising.org"/>
    <x v="0"/>
    <s v="Lib"/>
    <x v="0"/>
    <x v="3"/>
    <n v="4.3650000000000002"/>
    <n v="26.19"/>
    <x v="3"/>
    <s v="Medium"/>
    <x v="0"/>
  </r>
  <r>
    <s v="KRW-91640-596"/>
    <x v="409"/>
    <x v="477"/>
    <s v="R-L-0.5"/>
    <n v="3"/>
    <x v="477"/>
    <s v="ttilzeyeb@hostgator.com"/>
    <x v="0"/>
    <s v="Rob"/>
    <x v="1"/>
    <x v="1"/>
    <n v="7.169999999999999"/>
    <n v="21.509999999999998"/>
    <x v="0"/>
    <s v="Light"/>
    <x v="1"/>
  </r>
  <r>
    <s v="AOT-70449-651"/>
    <x v="410"/>
    <x v="478"/>
    <s v="R-D-2.5"/>
    <n v="5"/>
    <x v="478"/>
    <s v=""/>
    <x v="0"/>
    <s v="Rob"/>
    <x v="2"/>
    <x v="2"/>
    <n v="20.584999999999997"/>
    <n v="102.92499999999998"/>
    <x v="0"/>
    <s v="Dark"/>
    <x v="0"/>
  </r>
  <r>
    <s v="DGC-21813-731"/>
    <x v="127"/>
    <x v="479"/>
    <s v="L-D-0.2"/>
    <n v="2"/>
    <x v="479"/>
    <s v=""/>
    <x v="0"/>
    <s v="Lib"/>
    <x v="2"/>
    <x v="3"/>
    <n v="3.8849999999999998"/>
    <n v="7.77"/>
    <x v="3"/>
    <s v="Dark"/>
    <x v="1"/>
  </r>
  <r>
    <s v="JBE-92943-643"/>
    <x v="411"/>
    <x v="480"/>
    <s v="E-D-2.5"/>
    <n v="5"/>
    <x v="480"/>
    <s v="kimortsee@alexa.com"/>
    <x v="0"/>
    <s v="Exc"/>
    <x v="2"/>
    <x v="2"/>
    <n v="27.945"/>
    <n v="139.72499999999999"/>
    <x v="1"/>
    <s v="Dark"/>
    <x v="1"/>
  </r>
  <r>
    <s v="ZIL-34948-499"/>
    <x v="112"/>
    <x v="464"/>
    <s v="A-D-0.5"/>
    <n v="2"/>
    <x v="464"/>
    <s v="murione5@alexa.com"/>
    <x v="1"/>
    <s v="Ara"/>
    <x v="2"/>
    <x v="1"/>
    <n v="5.97"/>
    <n v="11.94"/>
    <x v="2"/>
    <s v="Dark"/>
    <x v="0"/>
  </r>
  <r>
    <s v="JSU-23781-256"/>
    <x v="412"/>
    <x v="481"/>
    <s v="L-D-0.2"/>
    <n v="1"/>
    <x v="481"/>
    <s v="marmisteadeg@blogtalkradio.com"/>
    <x v="0"/>
    <s v="Lib"/>
    <x v="2"/>
    <x v="3"/>
    <n v="3.8849999999999998"/>
    <n v="3.8849999999999998"/>
    <x v="3"/>
    <s v="Dark"/>
    <x v="1"/>
  </r>
  <r>
    <s v="JSU-23781-256"/>
    <x v="412"/>
    <x v="481"/>
    <s v="R-M-1"/>
    <n v="4"/>
    <x v="481"/>
    <s v="marmisteadeg@blogtalkradio.com"/>
    <x v="0"/>
    <s v="Rob"/>
    <x v="0"/>
    <x v="0"/>
    <n v="9.9499999999999993"/>
    <n v="39.799999999999997"/>
    <x v="0"/>
    <s v="Medium"/>
    <x v="1"/>
  </r>
  <r>
    <s v="VPX-44956-367"/>
    <x v="413"/>
    <x v="482"/>
    <s v="R-M-0.5"/>
    <n v="5"/>
    <x v="482"/>
    <s v="vupstoneei@google.pl"/>
    <x v="0"/>
    <s v="Rob"/>
    <x v="0"/>
    <x v="1"/>
    <n v="5.97"/>
    <n v="29.849999999999998"/>
    <x v="0"/>
    <s v="Medium"/>
    <x v="1"/>
  </r>
  <r>
    <s v="VTB-46451-959"/>
    <x v="414"/>
    <x v="483"/>
    <s v="L-D-2.5"/>
    <n v="1"/>
    <x v="483"/>
    <s v="bbeelbyej@rediff.com"/>
    <x v="1"/>
    <s v="Lib"/>
    <x v="2"/>
    <x v="2"/>
    <n v="29.784999999999997"/>
    <n v="29.784999999999997"/>
    <x v="3"/>
    <s v="Dark"/>
    <x v="1"/>
  </r>
  <r>
    <s v="DNZ-11665-950"/>
    <x v="415"/>
    <x v="484"/>
    <s v="L-L-2.5"/>
    <n v="2"/>
    <x v="484"/>
    <s v=""/>
    <x v="0"/>
    <s v="Lib"/>
    <x v="1"/>
    <x v="2"/>
    <n v="36.454999999999998"/>
    <n v="72.91"/>
    <x v="3"/>
    <s v="Light"/>
    <x v="1"/>
  </r>
  <r>
    <s v="ITR-54735-364"/>
    <x v="416"/>
    <x v="485"/>
    <s v="R-D-0.2"/>
    <n v="5"/>
    <x v="485"/>
    <s v=""/>
    <x v="0"/>
    <s v="Rob"/>
    <x v="2"/>
    <x v="3"/>
    <n v="2.6849999999999996"/>
    <n v="13.424999999999997"/>
    <x v="0"/>
    <s v="Dark"/>
    <x v="0"/>
  </r>
  <r>
    <s v="YDS-02797-307"/>
    <x v="417"/>
    <x v="486"/>
    <s v="E-M-2.5"/>
    <n v="4"/>
    <x v="486"/>
    <s v="wspeechlyem@amazon.com"/>
    <x v="0"/>
    <s v="Exc"/>
    <x v="0"/>
    <x v="2"/>
    <n v="31.624999999999996"/>
    <n v="126.49999999999999"/>
    <x v="1"/>
    <s v="Medium"/>
    <x v="0"/>
  </r>
  <r>
    <s v="BPG-68988-842"/>
    <x v="418"/>
    <x v="487"/>
    <s v="E-M-0.5"/>
    <n v="5"/>
    <x v="487"/>
    <s v="iphillpoten@buzzfeed.com"/>
    <x v="2"/>
    <s v="Exc"/>
    <x v="0"/>
    <x v="1"/>
    <n v="8.25"/>
    <n v="41.25"/>
    <x v="1"/>
    <s v="Medium"/>
    <x v="1"/>
  </r>
  <r>
    <s v="XZG-51938-658"/>
    <x v="419"/>
    <x v="488"/>
    <s v="E-L-0.5"/>
    <n v="6"/>
    <x v="488"/>
    <s v="lpennaccieo@statcounter.com"/>
    <x v="0"/>
    <s v="Exc"/>
    <x v="1"/>
    <x v="1"/>
    <n v="8.91"/>
    <n v="53.46"/>
    <x v="1"/>
    <s v="Light"/>
    <x v="1"/>
  </r>
  <r>
    <s v="KAR-24978-271"/>
    <x v="420"/>
    <x v="489"/>
    <s v="R-M-1"/>
    <n v="6"/>
    <x v="489"/>
    <s v="sarpinep@moonfruit.com"/>
    <x v="0"/>
    <s v="Rob"/>
    <x v="0"/>
    <x v="0"/>
    <n v="9.9499999999999993"/>
    <n v="59.699999999999996"/>
    <x v="0"/>
    <s v="Medium"/>
    <x v="1"/>
  </r>
  <r>
    <s v="FQK-28730-361"/>
    <x v="421"/>
    <x v="490"/>
    <s v="R-M-1"/>
    <n v="6"/>
    <x v="490"/>
    <s v="dfrieseq@cargocollective.com"/>
    <x v="0"/>
    <s v="Rob"/>
    <x v="0"/>
    <x v="0"/>
    <n v="9.9499999999999993"/>
    <n v="59.699999999999996"/>
    <x v="0"/>
    <s v="Medium"/>
    <x v="1"/>
  </r>
  <r>
    <s v="BGB-67996-089"/>
    <x v="422"/>
    <x v="491"/>
    <s v="R-D-1"/>
    <n v="5"/>
    <x v="491"/>
    <s v="rsharerer@flavors.me"/>
    <x v="0"/>
    <s v="Rob"/>
    <x v="2"/>
    <x v="0"/>
    <n v="8.9499999999999993"/>
    <n v="44.75"/>
    <x v="0"/>
    <s v="Dark"/>
    <x v="1"/>
  </r>
  <r>
    <s v="XMC-20620-809"/>
    <x v="423"/>
    <x v="492"/>
    <s v="E-M-0.5"/>
    <n v="2"/>
    <x v="492"/>
    <s v="nnasebyes@umich.edu"/>
    <x v="0"/>
    <s v="Exc"/>
    <x v="0"/>
    <x v="1"/>
    <n v="8.25"/>
    <n v="16.5"/>
    <x v="1"/>
    <s v="Medium"/>
    <x v="0"/>
  </r>
  <r>
    <s v="ZSO-58292-191"/>
    <x v="109"/>
    <x v="493"/>
    <s v="R-D-0.5"/>
    <n v="4"/>
    <x v="493"/>
    <s v=""/>
    <x v="0"/>
    <s v="Rob"/>
    <x v="2"/>
    <x v="1"/>
    <n v="5.3699999999999992"/>
    <n v="21.479999999999997"/>
    <x v="0"/>
    <s v="Dark"/>
    <x v="1"/>
  </r>
  <r>
    <s v="LWJ-06793-303"/>
    <x v="204"/>
    <x v="494"/>
    <s v="R-M-2.5"/>
    <n v="2"/>
    <x v="494"/>
    <s v="koculleneu@ca.gov"/>
    <x v="1"/>
    <s v="Rob"/>
    <x v="0"/>
    <x v="2"/>
    <n v="22.884999999999998"/>
    <n v="45.769999999999996"/>
    <x v="0"/>
    <s v="Medium"/>
    <x v="0"/>
  </r>
  <r>
    <s v="FLM-82229-989"/>
    <x v="424"/>
    <x v="495"/>
    <s v="L-L-0.2"/>
    <n v="2"/>
    <x v="495"/>
    <s v=""/>
    <x v="1"/>
    <s v="Lib"/>
    <x v="1"/>
    <x v="3"/>
    <n v="4.7549999999999999"/>
    <n v="9.51"/>
    <x v="3"/>
    <s v="Light"/>
    <x v="1"/>
  </r>
  <r>
    <s v="CPV-90280-133"/>
    <x v="13"/>
    <x v="464"/>
    <s v="R-D-0.2"/>
    <n v="3"/>
    <x v="464"/>
    <s v="murione5@alexa.com"/>
    <x v="1"/>
    <s v="Rob"/>
    <x v="2"/>
    <x v="3"/>
    <n v="2.6849999999999996"/>
    <n v="8.0549999999999997"/>
    <x v="0"/>
    <s v="Dark"/>
    <x v="0"/>
  </r>
  <r>
    <s v="OGW-60685-912"/>
    <x v="224"/>
    <x v="496"/>
    <s v="E-D-2.5"/>
    <n v="4"/>
    <x v="496"/>
    <s v="hbranganex@woothemes.com"/>
    <x v="0"/>
    <s v="Exc"/>
    <x v="2"/>
    <x v="2"/>
    <n v="27.945"/>
    <n v="111.78"/>
    <x v="1"/>
    <s v="Dark"/>
    <x v="0"/>
  </r>
  <r>
    <s v="DEC-11160-362"/>
    <x v="220"/>
    <x v="497"/>
    <s v="R-D-0.2"/>
    <n v="4"/>
    <x v="497"/>
    <s v="agallyoney@engadget.com"/>
    <x v="0"/>
    <s v="Rob"/>
    <x v="2"/>
    <x v="3"/>
    <n v="2.6849999999999996"/>
    <n v="10.739999999999998"/>
    <x v="0"/>
    <s v="Dark"/>
    <x v="0"/>
  </r>
  <r>
    <s v="WCT-07869-499"/>
    <x v="91"/>
    <x v="498"/>
    <s v="R-D-0.5"/>
    <n v="5"/>
    <x v="498"/>
    <s v="bdomangeez@yahoo.co.jp"/>
    <x v="0"/>
    <s v="Rob"/>
    <x v="2"/>
    <x v="1"/>
    <n v="5.3699999999999992"/>
    <n v="26.849999999999994"/>
    <x v="0"/>
    <s v="Dark"/>
    <x v="1"/>
  </r>
  <r>
    <s v="FHD-89872-325"/>
    <x v="425"/>
    <x v="499"/>
    <s v="L-L-1"/>
    <n v="4"/>
    <x v="499"/>
    <s v="koslerf0@gmpg.org"/>
    <x v="0"/>
    <s v="Lib"/>
    <x v="1"/>
    <x v="0"/>
    <n v="15.85"/>
    <n v="63.4"/>
    <x v="3"/>
    <s v="Light"/>
    <x v="0"/>
  </r>
  <r>
    <s v="AZF-45991-584"/>
    <x v="426"/>
    <x v="500"/>
    <s v="A-D-2.5"/>
    <n v="1"/>
    <x v="500"/>
    <s v=""/>
    <x v="1"/>
    <s v="Ara"/>
    <x v="2"/>
    <x v="2"/>
    <n v="22.884999999999998"/>
    <n v="22.884999999999998"/>
    <x v="2"/>
    <s v="Dark"/>
    <x v="0"/>
  </r>
  <r>
    <s v="MDG-14481-513"/>
    <x v="427"/>
    <x v="501"/>
    <s v="A-M-2.5"/>
    <n v="4"/>
    <x v="501"/>
    <s v="zpellettf2@dailymotion.com"/>
    <x v="0"/>
    <s v="Ara"/>
    <x v="0"/>
    <x v="2"/>
    <n v="25.874999999999996"/>
    <n v="103.49999999999999"/>
    <x v="2"/>
    <s v="Medium"/>
    <x v="1"/>
  </r>
  <r>
    <s v="OFN-49424-848"/>
    <x v="428"/>
    <x v="502"/>
    <s v="R-L-2.5"/>
    <n v="2"/>
    <x v="502"/>
    <s v="isprakesf3@spiegel.de"/>
    <x v="0"/>
    <s v="Rob"/>
    <x v="1"/>
    <x v="2"/>
    <n v="27.484999999999996"/>
    <n v="54.969999999999992"/>
    <x v="0"/>
    <s v="Light"/>
    <x v="1"/>
  </r>
  <r>
    <s v="NFA-03411-746"/>
    <x v="383"/>
    <x v="503"/>
    <s v="A-L-0.5"/>
    <n v="2"/>
    <x v="503"/>
    <s v="hfromantf4@ucsd.edu"/>
    <x v="0"/>
    <s v="Ara"/>
    <x v="1"/>
    <x v="1"/>
    <n v="7.77"/>
    <n v="15.54"/>
    <x v="2"/>
    <s v="Light"/>
    <x v="1"/>
  </r>
  <r>
    <s v="CYM-74988-450"/>
    <x v="156"/>
    <x v="504"/>
    <s v="L-D-0.2"/>
    <n v="4"/>
    <x v="504"/>
    <s v="rflearf5@artisteer.com"/>
    <x v="2"/>
    <s v="Lib"/>
    <x v="2"/>
    <x v="3"/>
    <n v="3.8849999999999998"/>
    <n v="15.54"/>
    <x v="3"/>
    <s v="Dark"/>
    <x v="1"/>
  </r>
  <r>
    <s v="WTV-24996-658"/>
    <x v="429"/>
    <x v="505"/>
    <s v="E-D-2.5"/>
    <n v="3"/>
    <x v="505"/>
    <s v=""/>
    <x v="1"/>
    <s v="Exc"/>
    <x v="2"/>
    <x v="2"/>
    <n v="27.945"/>
    <n v="83.835000000000008"/>
    <x v="1"/>
    <s v="Dark"/>
    <x v="1"/>
  </r>
  <r>
    <s v="DSL-69915-544"/>
    <x v="103"/>
    <x v="506"/>
    <s v="R-L-0.2"/>
    <n v="3"/>
    <x v="506"/>
    <s v="wlightollersf9@baidu.com"/>
    <x v="0"/>
    <s v="Rob"/>
    <x v="1"/>
    <x v="3"/>
    <n v="3.5849999999999995"/>
    <n v="10.754999999999999"/>
    <x v="0"/>
    <s v="Light"/>
    <x v="0"/>
  </r>
  <r>
    <s v="NBT-35757-542"/>
    <x v="361"/>
    <x v="507"/>
    <s v="E-L-0.2"/>
    <n v="3"/>
    <x v="507"/>
    <s v="bmundenf8@elpais.com"/>
    <x v="0"/>
    <s v="Exc"/>
    <x v="1"/>
    <x v="3"/>
    <n v="4.4550000000000001"/>
    <n v="13.365"/>
    <x v="1"/>
    <s v="Light"/>
    <x v="0"/>
  </r>
  <r>
    <s v="OYU-25085-528"/>
    <x v="120"/>
    <x v="506"/>
    <s v="E-L-0.2"/>
    <n v="4"/>
    <x v="506"/>
    <s v="wlightollersf9@baidu.com"/>
    <x v="0"/>
    <s v="Exc"/>
    <x v="1"/>
    <x v="3"/>
    <n v="4.4550000000000001"/>
    <n v="17.82"/>
    <x v="1"/>
    <s v="Light"/>
    <x v="0"/>
  </r>
  <r>
    <s v="XCG-07109-195"/>
    <x v="430"/>
    <x v="508"/>
    <s v="L-D-0.2"/>
    <n v="6"/>
    <x v="508"/>
    <s v="nbrakespearfa@rediff.com"/>
    <x v="0"/>
    <s v="Lib"/>
    <x v="2"/>
    <x v="3"/>
    <n v="3.8849999999999998"/>
    <n v="23.31"/>
    <x v="3"/>
    <s v="Dark"/>
    <x v="0"/>
  </r>
  <r>
    <s v="YZA-25234-630"/>
    <x v="125"/>
    <x v="509"/>
    <s v="E-D-0.2"/>
    <n v="2"/>
    <x v="509"/>
    <s v="mglawsopfb@reverbnation.com"/>
    <x v="0"/>
    <s v="Exc"/>
    <x v="2"/>
    <x v="3"/>
    <n v="3.645"/>
    <n v="7.29"/>
    <x v="1"/>
    <s v="Dark"/>
    <x v="1"/>
  </r>
  <r>
    <s v="OKU-29966-417"/>
    <x v="431"/>
    <x v="510"/>
    <s v="E-L-0.2"/>
    <n v="4"/>
    <x v="510"/>
    <s v="galbertsfc@etsy.com"/>
    <x v="2"/>
    <s v="Exc"/>
    <x v="1"/>
    <x v="3"/>
    <n v="4.4550000000000001"/>
    <n v="17.82"/>
    <x v="1"/>
    <s v="Light"/>
    <x v="0"/>
  </r>
  <r>
    <s v="MEX-29350-659"/>
    <x v="40"/>
    <x v="511"/>
    <s v="E-M-1"/>
    <n v="5"/>
    <x v="511"/>
    <s v="vpolglasefd@about.me"/>
    <x v="0"/>
    <s v="Exc"/>
    <x v="0"/>
    <x v="0"/>
    <n v="13.75"/>
    <n v="68.75"/>
    <x v="1"/>
    <s v="Medium"/>
    <x v="1"/>
  </r>
  <r>
    <s v="NOY-99738-977"/>
    <x v="432"/>
    <x v="512"/>
    <s v="R-L-2.5"/>
    <n v="2"/>
    <x v="512"/>
    <s v=""/>
    <x v="2"/>
    <s v="Rob"/>
    <x v="1"/>
    <x v="2"/>
    <n v="27.484999999999996"/>
    <n v="54.969999999999992"/>
    <x v="0"/>
    <s v="Light"/>
    <x v="0"/>
  </r>
  <r>
    <s v="TCR-01064-030"/>
    <x v="254"/>
    <x v="513"/>
    <s v="E-M-1"/>
    <n v="6"/>
    <x v="513"/>
    <s v="sbuschff@so-net.ne.jp"/>
    <x v="1"/>
    <s v="Exc"/>
    <x v="0"/>
    <x v="0"/>
    <n v="13.75"/>
    <n v="82.5"/>
    <x v="1"/>
    <s v="Medium"/>
    <x v="1"/>
  </r>
  <r>
    <s v="YUL-42750-776"/>
    <x v="219"/>
    <x v="514"/>
    <s v="L-M-0.2"/>
    <n v="2"/>
    <x v="514"/>
    <s v="craisbeckfg@webnode.com"/>
    <x v="0"/>
    <s v="Lib"/>
    <x v="0"/>
    <x v="3"/>
    <n v="4.3650000000000002"/>
    <n v="8.73"/>
    <x v="3"/>
    <s v="Medium"/>
    <x v="0"/>
  </r>
  <r>
    <s v="XQJ-86887-506"/>
    <x v="433"/>
    <x v="464"/>
    <s v="E-L-1"/>
    <n v="4"/>
    <x v="464"/>
    <s v="murione5@alexa.com"/>
    <x v="1"/>
    <s v="Exc"/>
    <x v="1"/>
    <x v="0"/>
    <n v="14.85"/>
    <n v="59.4"/>
    <x v="1"/>
    <s v="Light"/>
    <x v="0"/>
  </r>
  <r>
    <s v="CUN-90044-279"/>
    <x v="434"/>
    <x v="515"/>
    <s v="L-D-0.2"/>
    <n v="4"/>
    <x v="515"/>
    <s v=""/>
    <x v="0"/>
    <s v="Lib"/>
    <x v="2"/>
    <x v="3"/>
    <n v="3.8849999999999998"/>
    <n v="15.54"/>
    <x v="3"/>
    <s v="Dark"/>
    <x v="0"/>
  </r>
  <r>
    <s v="ICC-73030-502"/>
    <x v="435"/>
    <x v="516"/>
    <s v="A-L-1"/>
    <n v="3"/>
    <x v="516"/>
    <s v="raynoldfj@ustream.tv"/>
    <x v="0"/>
    <s v="Ara"/>
    <x v="1"/>
    <x v="0"/>
    <n v="12.95"/>
    <n v="38.849999999999994"/>
    <x v="2"/>
    <s v="Light"/>
    <x v="0"/>
  </r>
  <r>
    <s v="ADP-04506-084"/>
    <x v="436"/>
    <x v="517"/>
    <s v="E-M-2.5"/>
    <n v="6"/>
    <x v="517"/>
    <s v=""/>
    <x v="0"/>
    <s v="Exc"/>
    <x v="0"/>
    <x v="2"/>
    <n v="31.624999999999996"/>
    <n v="189.74999999999997"/>
    <x v="1"/>
    <s v="Medium"/>
    <x v="0"/>
  </r>
  <r>
    <s v="PNU-22150-408"/>
    <x v="437"/>
    <x v="518"/>
    <s v="A-D-0.2"/>
    <n v="6"/>
    <x v="518"/>
    <s v=""/>
    <x v="1"/>
    <s v="Ara"/>
    <x v="2"/>
    <x v="3"/>
    <n v="2.9849999999999999"/>
    <n v="17.91"/>
    <x v="2"/>
    <s v="Dark"/>
    <x v="0"/>
  </r>
  <r>
    <s v="VSQ-07182-513"/>
    <x v="438"/>
    <x v="519"/>
    <s v="L-L-0.2"/>
    <n v="6"/>
    <x v="519"/>
    <s v="bgrecefm@naver.com"/>
    <x v="2"/>
    <s v="Lib"/>
    <x v="1"/>
    <x v="3"/>
    <n v="4.7549999999999999"/>
    <n v="28.53"/>
    <x v="3"/>
    <s v="Light"/>
    <x v="1"/>
  </r>
  <r>
    <s v="SPF-31673-217"/>
    <x v="439"/>
    <x v="520"/>
    <s v="E-M-1"/>
    <n v="6"/>
    <x v="520"/>
    <s v="dflintiffg1@e-recht24.de"/>
    <x v="2"/>
    <s v="Exc"/>
    <x v="0"/>
    <x v="0"/>
    <n v="13.75"/>
    <n v="82.5"/>
    <x v="1"/>
    <s v="Medium"/>
    <x v="1"/>
  </r>
  <r>
    <s v="NEX-63825-598"/>
    <x v="175"/>
    <x v="521"/>
    <s v="R-L-0.5"/>
    <n v="2"/>
    <x v="521"/>
    <s v="athysfo@cdc.gov"/>
    <x v="0"/>
    <s v="Rob"/>
    <x v="1"/>
    <x v="1"/>
    <n v="7.169999999999999"/>
    <n v="14.339999999999998"/>
    <x v="0"/>
    <s v="Light"/>
    <x v="1"/>
  </r>
  <r>
    <s v="XPG-66112-335"/>
    <x v="440"/>
    <x v="522"/>
    <s v="R-D-2.5"/>
    <n v="4"/>
    <x v="522"/>
    <s v="jchuggfp@about.me"/>
    <x v="0"/>
    <s v="Rob"/>
    <x v="2"/>
    <x v="2"/>
    <n v="20.584999999999997"/>
    <n v="82.339999999999989"/>
    <x v="0"/>
    <s v="Dark"/>
    <x v="1"/>
  </r>
  <r>
    <s v="NSQ-72210-345"/>
    <x v="441"/>
    <x v="523"/>
    <s v="A-M-0.2"/>
    <n v="6"/>
    <x v="523"/>
    <s v="akelstonfq@sakura.ne.jp"/>
    <x v="0"/>
    <s v="Ara"/>
    <x v="0"/>
    <x v="3"/>
    <n v="3.375"/>
    <n v="20.25"/>
    <x v="2"/>
    <s v="Medium"/>
    <x v="0"/>
  </r>
  <r>
    <s v="XRR-28376-277"/>
    <x v="442"/>
    <x v="524"/>
    <s v="R-L-2.5"/>
    <n v="6"/>
    <x v="524"/>
    <s v=""/>
    <x v="1"/>
    <s v="Rob"/>
    <x v="1"/>
    <x v="2"/>
    <n v="27.484999999999996"/>
    <n v="164.90999999999997"/>
    <x v="0"/>
    <s v="Light"/>
    <x v="1"/>
  </r>
  <r>
    <s v="WHQ-25197-475"/>
    <x v="443"/>
    <x v="525"/>
    <s v="L-L-0.2"/>
    <n v="4"/>
    <x v="525"/>
    <s v="cmottramfs@harvard.edu"/>
    <x v="0"/>
    <s v="Lib"/>
    <x v="1"/>
    <x v="3"/>
    <n v="4.7549999999999999"/>
    <n v="19.02"/>
    <x v="3"/>
    <s v="Light"/>
    <x v="0"/>
  </r>
  <r>
    <s v="HMB-30634-745"/>
    <x v="216"/>
    <x v="520"/>
    <s v="A-D-2.5"/>
    <n v="6"/>
    <x v="520"/>
    <s v="dflintiffg1@e-recht24.de"/>
    <x v="2"/>
    <s v="Ara"/>
    <x v="2"/>
    <x v="2"/>
    <n v="22.884999999999998"/>
    <n v="137.31"/>
    <x v="2"/>
    <s v="Dark"/>
    <x v="1"/>
  </r>
  <r>
    <s v="XTL-68000-371"/>
    <x v="444"/>
    <x v="526"/>
    <s v="A-M-0.5"/>
    <n v="4"/>
    <x v="526"/>
    <s v="dsangwinfu@weebly.com"/>
    <x v="0"/>
    <s v="Ara"/>
    <x v="0"/>
    <x v="1"/>
    <n v="6.75"/>
    <n v="27"/>
    <x v="2"/>
    <s v="Medium"/>
    <x v="1"/>
  </r>
  <r>
    <s v="YES-51109-625"/>
    <x v="37"/>
    <x v="527"/>
    <s v="E-L-0.5"/>
    <n v="4"/>
    <x v="527"/>
    <s v="eaizikowitzfv@virginia.edu"/>
    <x v="2"/>
    <s v="Exc"/>
    <x v="1"/>
    <x v="1"/>
    <n v="8.91"/>
    <n v="35.64"/>
    <x v="1"/>
    <s v="Light"/>
    <x v="1"/>
  </r>
  <r>
    <s v="EAY-89850-211"/>
    <x v="445"/>
    <x v="528"/>
    <s v="A-D-0.2"/>
    <n v="2"/>
    <x v="528"/>
    <s v=""/>
    <x v="0"/>
    <s v="Ara"/>
    <x v="2"/>
    <x v="3"/>
    <n v="2.9849999999999999"/>
    <n v="5.97"/>
    <x v="2"/>
    <s v="Dark"/>
    <x v="0"/>
  </r>
  <r>
    <s v="IOQ-84840-827"/>
    <x v="446"/>
    <x v="529"/>
    <s v="A-M-1"/>
    <n v="6"/>
    <x v="529"/>
    <s v="cvenourfx@ask.com"/>
    <x v="0"/>
    <s v="Ara"/>
    <x v="0"/>
    <x v="0"/>
    <n v="11.25"/>
    <n v="67.5"/>
    <x v="2"/>
    <s v="Medium"/>
    <x v="1"/>
  </r>
  <r>
    <s v="FBD-56220-430"/>
    <x v="245"/>
    <x v="530"/>
    <s v="R-L-0.2"/>
    <n v="6"/>
    <x v="530"/>
    <s v="mharbyfy@163.com"/>
    <x v="0"/>
    <s v="Rob"/>
    <x v="1"/>
    <x v="3"/>
    <n v="3.5849999999999995"/>
    <n v="21.509999999999998"/>
    <x v="0"/>
    <s v="Light"/>
    <x v="0"/>
  </r>
  <r>
    <s v="COV-52659-202"/>
    <x v="447"/>
    <x v="531"/>
    <s v="L-M-2.5"/>
    <n v="2"/>
    <x v="531"/>
    <s v="rthickpennyfz@cafepress.com"/>
    <x v="0"/>
    <s v="Lib"/>
    <x v="0"/>
    <x v="2"/>
    <n v="33.464999999999996"/>
    <n v="66.929999999999993"/>
    <x v="3"/>
    <s v="Medium"/>
    <x v="1"/>
  </r>
  <r>
    <s v="YUO-76652-814"/>
    <x v="448"/>
    <x v="532"/>
    <s v="A-D-0.2"/>
    <n v="6"/>
    <x v="532"/>
    <s v="pormerodg0@redcross.org"/>
    <x v="0"/>
    <s v="Ara"/>
    <x v="2"/>
    <x v="3"/>
    <n v="2.9849999999999999"/>
    <n v="17.91"/>
    <x v="2"/>
    <s v="Dark"/>
    <x v="1"/>
  </r>
  <r>
    <s v="PBT-36926-102"/>
    <x v="344"/>
    <x v="520"/>
    <s v="L-M-1"/>
    <n v="4"/>
    <x v="520"/>
    <s v="dflintiffg1@e-recht24.de"/>
    <x v="2"/>
    <s v="Lib"/>
    <x v="0"/>
    <x v="0"/>
    <n v="14.55"/>
    <n v="58.2"/>
    <x v="3"/>
    <s v="Medium"/>
    <x v="1"/>
  </r>
  <r>
    <s v="BLV-60087-454"/>
    <x v="152"/>
    <x v="533"/>
    <s v="E-L-0.2"/>
    <n v="3"/>
    <x v="533"/>
    <s v="tzanettig2@gravatar.com"/>
    <x v="1"/>
    <s v="Exc"/>
    <x v="1"/>
    <x v="3"/>
    <n v="4.4550000000000001"/>
    <n v="13.365"/>
    <x v="1"/>
    <s v="Light"/>
    <x v="1"/>
  </r>
  <r>
    <s v="BLV-60087-454"/>
    <x v="152"/>
    <x v="533"/>
    <s v="A-M-0.5"/>
    <n v="5"/>
    <x v="533"/>
    <s v="tzanettig2@gravatar.com"/>
    <x v="1"/>
    <s v="Ara"/>
    <x v="0"/>
    <x v="1"/>
    <n v="6.75"/>
    <n v="33.75"/>
    <x v="2"/>
    <s v="Medium"/>
    <x v="1"/>
  </r>
  <r>
    <s v="QYC-63914-195"/>
    <x v="449"/>
    <x v="534"/>
    <s v="E-L-1"/>
    <n v="3"/>
    <x v="534"/>
    <s v="rkirtleyg4@hatena.ne.jp"/>
    <x v="0"/>
    <s v="Exc"/>
    <x v="1"/>
    <x v="0"/>
    <n v="14.85"/>
    <n v="44.55"/>
    <x v="1"/>
    <s v="Light"/>
    <x v="0"/>
  </r>
  <r>
    <s v="OIB-77163-890"/>
    <x v="450"/>
    <x v="535"/>
    <s v="E-L-0.5"/>
    <n v="5"/>
    <x v="535"/>
    <s v="cclemencetg5@weather.com"/>
    <x v="2"/>
    <s v="Exc"/>
    <x v="1"/>
    <x v="1"/>
    <n v="8.91"/>
    <n v="44.55"/>
    <x v="1"/>
    <s v="Light"/>
    <x v="0"/>
  </r>
  <r>
    <s v="SGS-87525-238"/>
    <x v="451"/>
    <x v="536"/>
    <s v="E-D-1"/>
    <n v="5"/>
    <x v="536"/>
    <s v="rdonetg6@oakley.com"/>
    <x v="0"/>
    <s v="Exc"/>
    <x v="2"/>
    <x v="0"/>
    <n v="12.15"/>
    <n v="60.75"/>
    <x v="1"/>
    <s v="Dark"/>
    <x v="1"/>
  </r>
  <r>
    <s v="GQR-12490-152"/>
    <x v="83"/>
    <x v="537"/>
    <s v="R-L-0.2"/>
    <n v="1"/>
    <x v="537"/>
    <s v="sgaweng7@creativecommons.org"/>
    <x v="0"/>
    <s v="Rob"/>
    <x v="1"/>
    <x v="3"/>
    <n v="3.5849999999999995"/>
    <n v="3.5849999999999995"/>
    <x v="0"/>
    <s v="Light"/>
    <x v="0"/>
  </r>
  <r>
    <s v="UOJ-28238-299"/>
    <x v="452"/>
    <x v="538"/>
    <s v="R-L-0.2"/>
    <n v="6"/>
    <x v="538"/>
    <s v="rreadieg8@guardian.co.uk"/>
    <x v="0"/>
    <s v="Rob"/>
    <x v="1"/>
    <x v="3"/>
    <n v="3.5849999999999995"/>
    <n v="21.509999999999998"/>
    <x v="0"/>
    <s v="Light"/>
    <x v="1"/>
  </r>
  <r>
    <s v="ETD-58130-674"/>
    <x v="453"/>
    <x v="539"/>
    <s v="E-M-0.5"/>
    <n v="2"/>
    <x v="539"/>
    <s v="cverissimogh@theglobeandmail.com"/>
    <x v="2"/>
    <s v="Exc"/>
    <x v="0"/>
    <x v="1"/>
    <n v="8.25"/>
    <n v="16.5"/>
    <x v="1"/>
    <s v="Medium"/>
    <x v="0"/>
  </r>
  <r>
    <s v="UPF-60123-025"/>
    <x v="454"/>
    <x v="540"/>
    <s v="R-L-2.5"/>
    <n v="3"/>
    <x v="540"/>
    <s v=""/>
    <x v="0"/>
    <s v="Rob"/>
    <x v="1"/>
    <x v="2"/>
    <n v="27.484999999999996"/>
    <n v="82.454999999999984"/>
    <x v="0"/>
    <s v="Light"/>
    <x v="1"/>
  </r>
  <r>
    <s v="NQS-01613-687"/>
    <x v="455"/>
    <x v="541"/>
    <s v="L-D-0.5"/>
    <n v="1"/>
    <x v="541"/>
    <s v="bogb@elpais.com"/>
    <x v="0"/>
    <s v="Lib"/>
    <x v="2"/>
    <x v="1"/>
    <n v="7.77"/>
    <n v="7.77"/>
    <x v="3"/>
    <s v="Dark"/>
    <x v="0"/>
  </r>
  <r>
    <s v="MGH-36050-573"/>
    <x v="456"/>
    <x v="542"/>
    <s v="R-M-0.5"/>
    <n v="2"/>
    <x v="542"/>
    <s v="vstansburygc@unblog.fr"/>
    <x v="0"/>
    <s v="Rob"/>
    <x v="0"/>
    <x v="1"/>
    <n v="5.97"/>
    <n v="11.94"/>
    <x v="0"/>
    <s v="Medium"/>
    <x v="0"/>
  </r>
  <r>
    <s v="UVF-59322-459"/>
    <x v="373"/>
    <x v="543"/>
    <s v="E-L-2.5"/>
    <n v="6"/>
    <x v="543"/>
    <s v="dheinonengd@printfriendly.com"/>
    <x v="0"/>
    <s v="Exc"/>
    <x v="1"/>
    <x v="2"/>
    <n v="34.154999999999994"/>
    <n v="204.92999999999995"/>
    <x v="1"/>
    <s v="Light"/>
    <x v="1"/>
  </r>
  <r>
    <s v="VET-41158-896"/>
    <x v="457"/>
    <x v="544"/>
    <s v="E-M-2.5"/>
    <n v="2"/>
    <x v="544"/>
    <s v="jshentonge@google.com.hk"/>
    <x v="0"/>
    <s v="Exc"/>
    <x v="0"/>
    <x v="2"/>
    <n v="31.624999999999996"/>
    <n v="63.249999999999993"/>
    <x v="1"/>
    <s v="Medium"/>
    <x v="0"/>
  </r>
  <r>
    <s v="XYL-52196-459"/>
    <x v="458"/>
    <x v="545"/>
    <s v="R-D-0.2"/>
    <n v="3"/>
    <x v="545"/>
    <s v="jwilkissongf@nba.com"/>
    <x v="0"/>
    <s v="Rob"/>
    <x v="2"/>
    <x v="3"/>
    <n v="2.6849999999999996"/>
    <n v="8.0549999999999997"/>
    <x v="0"/>
    <s v="Dark"/>
    <x v="0"/>
  </r>
  <r>
    <s v="BPZ-51283-916"/>
    <x v="264"/>
    <x v="546"/>
    <s v="A-M-2.5"/>
    <n v="2"/>
    <x v="546"/>
    <s v=""/>
    <x v="0"/>
    <s v="Ara"/>
    <x v="0"/>
    <x v="2"/>
    <n v="25.874999999999996"/>
    <n v="51.749999999999993"/>
    <x v="2"/>
    <s v="Medium"/>
    <x v="1"/>
  </r>
  <r>
    <s v="VQW-91903-926"/>
    <x v="459"/>
    <x v="539"/>
    <s v="E-D-2.5"/>
    <n v="1"/>
    <x v="539"/>
    <s v="cverissimogh@theglobeandmail.com"/>
    <x v="2"/>
    <s v="Exc"/>
    <x v="2"/>
    <x v="2"/>
    <n v="27.945"/>
    <n v="27.945"/>
    <x v="1"/>
    <s v="Dark"/>
    <x v="0"/>
  </r>
  <r>
    <s v="OLF-77983-457"/>
    <x v="460"/>
    <x v="547"/>
    <s v="A-L-2.5"/>
    <n v="2"/>
    <x v="547"/>
    <s v="gstarcksgi@abc.net.au"/>
    <x v="0"/>
    <s v="Ara"/>
    <x v="1"/>
    <x v="2"/>
    <n v="29.784999999999997"/>
    <n v="59.569999999999993"/>
    <x v="2"/>
    <s v="Light"/>
    <x v="1"/>
  </r>
  <r>
    <s v="MVI-04946-827"/>
    <x v="461"/>
    <x v="548"/>
    <s v="E-L-1"/>
    <n v="1"/>
    <x v="548"/>
    <s v=""/>
    <x v="2"/>
    <s v="Exc"/>
    <x v="1"/>
    <x v="0"/>
    <n v="14.85"/>
    <n v="14.85"/>
    <x v="1"/>
    <s v="Light"/>
    <x v="1"/>
  </r>
  <r>
    <s v="UOG-94188-104"/>
    <x v="219"/>
    <x v="549"/>
    <s v="A-M-0.5"/>
    <n v="5"/>
    <x v="549"/>
    <s v="kscholardgk@sbwire.com"/>
    <x v="0"/>
    <s v="Ara"/>
    <x v="0"/>
    <x v="1"/>
    <n v="6.75"/>
    <n v="33.75"/>
    <x v="2"/>
    <s v="Medium"/>
    <x v="1"/>
  </r>
  <r>
    <s v="DSN-15872-519"/>
    <x v="462"/>
    <x v="550"/>
    <s v="L-L-2.5"/>
    <n v="4"/>
    <x v="550"/>
    <s v="bkindleygl@wikimedia.org"/>
    <x v="0"/>
    <s v="Lib"/>
    <x v="1"/>
    <x v="2"/>
    <n v="36.454999999999998"/>
    <n v="145.82"/>
    <x v="3"/>
    <s v="Light"/>
    <x v="0"/>
  </r>
  <r>
    <s v="OUQ-73954-002"/>
    <x v="463"/>
    <x v="551"/>
    <s v="R-M-0.2"/>
    <n v="4"/>
    <x v="551"/>
    <s v="khammettgm@dmoz.org"/>
    <x v="0"/>
    <s v="Rob"/>
    <x v="0"/>
    <x v="3"/>
    <n v="2.9849999999999999"/>
    <n v="11.94"/>
    <x v="0"/>
    <s v="Medium"/>
    <x v="0"/>
  </r>
  <r>
    <s v="LGL-16843-667"/>
    <x v="464"/>
    <x v="552"/>
    <s v="A-D-0.2"/>
    <n v="4"/>
    <x v="552"/>
    <s v="ahulburtgn@fda.gov"/>
    <x v="0"/>
    <s v="Ara"/>
    <x v="2"/>
    <x v="3"/>
    <n v="2.9849999999999999"/>
    <n v="11.94"/>
    <x v="2"/>
    <s v="Dark"/>
    <x v="0"/>
  </r>
  <r>
    <s v="TCC-89722-031"/>
    <x v="465"/>
    <x v="553"/>
    <s v="L-D-0.5"/>
    <n v="1"/>
    <x v="553"/>
    <s v="plauritzengo@photobucket.com"/>
    <x v="0"/>
    <s v="Lib"/>
    <x v="2"/>
    <x v="1"/>
    <n v="7.77"/>
    <n v="7.77"/>
    <x v="3"/>
    <s v="Dark"/>
    <x v="1"/>
  </r>
  <r>
    <s v="TRA-79507-007"/>
    <x v="466"/>
    <x v="554"/>
    <s v="R-L-2.5"/>
    <n v="4"/>
    <x v="554"/>
    <s v="aburgwingp@redcross.org"/>
    <x v="0"/>
    <s v="Rob"/>
    <x v="1"/>
    <x v="2"/>
    <n v="27.484999999999996"/>
    <n v="109.93999999999998"/>
    <x v="0"/>
    <s v="Light"/>
    <x v="0"/>
  </r>
  <r>
    <s v="MZJ-77284-941"/>
    <x v="467"/>
    <x v="555"/>
    <s v="E-L-0.2"/>
    <n v="5"/>
    <x v="555"/>
    <s v="erolingq@google.fr"/>
    <x v="0"/>
    <s v="Exc"/>
    <x v="1"/>
    <x v="3"/>
    <n v="4.4550000000000001"/>
    <n v="22.274999999999999"/>
    <x v="1"/>
    <s v="Light"/>
    <x v="0"/>
  </r>
  <r>
    <s v="AXN-57779-891"/>
    <x v="468"/>
    <x v="556"/>
    <s v="R-M-0.2"/>
    <n v="3"/>
    <x v="556"/>
    <s v="dfowlegr@epa.gov"/>
    <x v="0"/>
    <s v="Rob"/>
    <x v="0"/>
    <x v="3"/>
    <n v="2.9849999999999999"/>
    <n v="8.9550000000000001"/>
    <x v="0"/>
    <s v="Medium"/>
    <x v="1"/>
  </r>
  <r>
    <s v="PJB-15659-994"/>
    <x v="469"/>
    <x v="557"/>
    <s v="L-D-2.5"/>
    <n v="4"/>
    <x v="557"/>
    <s v=""/>
    <x v="1"/>
    <s v="Lib"/>
    <x v="2"/>
    <x v="2"/>
    <n v="29.784999999999997"/>
    <n v="119.13999999999999"/>
    <x v="3"/>
    <s v="Dark"/>
    <x v="1"/>
  </r>
  <r>
    <s v="LTS-03470-353"/>
    <x v="470"/>
    <x v="558"/>
    <s v="A-L-2.5"/>
    <n v="5"/>
    <x v="558"/>
    <s v="wpowleslandgt@soundcloud.com"/>
    <x v="0"/>
    <s v="Ara"/>
    <x v="1"/>
    <x v="2"/>
    <n v="29.784999999999997"/>
    <n v="148.92499999999998"/>
    <x v="2"/>
    <s v="Light"/>
    <x v="0"/>
  </r>
  <r>
    <s v="UMM-28497-689"/>
    <x v="471"/>
    <x v="539"/>
    <s v="L-L-2.5"/>
    <n v="3"/>
    <x v="539"/>
    <s v="cverissimogh@theglobeandmail.com"/>
    <x v="2"/>
    <s v="Lib"/>
    <x v="1"/>
    <x v="2"/>
    <n v="36.454999999999998"/>
    <n v="109.36499999999999"/>
    <x v="3"/>
    <s v="Light"/>
    <x v="0"/>
  </r>
  <r>
    <s v="MJZ-93232-402"/>
    <x v="472"/>
    <x v="559"/>
    <s v="E-D-0.2"/>
    <n v="1"/>
    <x v="559"/>
    <s v="lellinghamgv@sciencedaily.com"/>
    <x v="0"/>
    <s v="Exc"/>
    <x v="2"/>
    <x v="3"/>
    <n v="3.645"/>
    <n v="3.645"/>
    <x v="1"/>
    <s v="Dark"/>
    <x v="0"/>
  </r>
  <r>
    <s v="UHW-74617-126"/>
    <x v="173"/>
    <x v="560"/>
    <s v="E-D-2.5"/>
    <n v="2"/>
    <x v="560"/>
    <s v=""/>
    <x v="0"/>
    <s v="Exc"/>
    <x v="2"/>
    <x v="2"/>
    <n v="27.945"/>
    <n v="55.89"/>
    <x v="1"/>
    <s v="Dark"/>
    <x v="1"/>
  </r>
  <r>
    <s v="RIK-61730-794"/>
    <x v="473"/>
    <x v="561"/>
    <s v="L-M-0.2"/>
    <n v="6"/>
    <x v="561"/>
    <s v="afendtgx@forbes.com"/>
    <x v="0"/>
    <s v="Lib"/>
    <x v="0"/>
    <x v="3"/>
    <n v="4.3650000000000002"/>
    <n v="26.19"/>
    <x v="3"/>
    <s v="Medium"/>
    <x v="0"/>
  </r>
  <r>
    <s v="IDJ-55379-750"/>
    <x v="474"/>
    <x v="562"/>
    <s v="R-M-1"/>
    <n v="4"/>
    <x v="562"/>
    <s v="acleyburngy@lycos.com"/>
    <x v="0"/>
    <s v="Rob"/>
    <x v="0"/>
    <x v="0"/>
    <n v="9.9499999999999993"/>
    <n v="39.799999999999997"/>
    <x v="0"/>
    <s v="Medium"/>
    <x v="1"/>
  </r>
  <r>
    <s v="OHX-11953-965"/>
    <x v="475"/>
    <x v="563"/>
    <s v="E-L-2.5"/>
    <n v="2"/>
    <x v="563"/>
    <s v="tcastiglionegz@xing.com"/>
    <x v="0"/>
    <s v="Exc"/>
    <x v="1"/>
    <x v="2"/>
    <n v="34.154999999999994"/>
    <n v="68.309999999999988"/>
    <x v="1"/>
    <s v="Light"/>
    <x v="1"/>
  </r>
  <r>
    <s v="TVV-42245-088"/>
    <x v="476"/>
    <x v="564"/>
    <s v="A-M-0.2"/>
    <n v="4"/>
    <x v="564"/>
    <s v=""/>
    <x v="1"/>
    <s v="Ara"/>
    <x v="0"/>
    <x v="3"/>
    <n v="3.375"/>
    <n v="13.5"/>
    <x v="2"/>
    <s v="Medium"/>
    <x v="1"/>
  </r>
  <r>
    <s v="DYP-74337-787"/>
    <x v="431"/>
    <x v="565"/>
    <s v="R-M-0.5"/>
    <n v="1"/>
    <x v="565"/>
    <s v=""/>
    <x v="0"/>
    <s v="Rob"/>
    <x v="0"/>
    <x v="1"/>
    <n v="5.97"/>
    <n v="5.97"/>
    <x v="0"/>
    <s v="Medium"/>
    <x v="1"/>
  </r>
  <r>
    <s v="OKA-93124-100"/>
    <x v="477"/>
    <x v="539"/>
    <s v="R-M-0.5"/>
    <n v="5"/>
    <x v="539"/>
    <s v="cverissimogh@theglobeandmail.com"/>
    <x v="2"/>
    <s v="Rob"/>
    <x v="0"/>
    <x v="1"/>
    <n v="5.97"/>
    <n v="29.849999999999998"/>
    <x v="0"/>
    <s v="Medium"/>
    <x v="0"/>
  </r>
  <r>
    <s v="IXW-20780-268"/>
    <x v="478"/>
    <x v="566"/>
    <s v="L-L-2.5"/>
    <n v="2"/>
    <x v="566"/>
    <s v="scouronneh3@mozilla.org"/>
    <x v="0"/>
    <s v="Lib"/>
    <x v="1"/>
    <x v="2"/>
    <n v="36.454999999999998"/>
    <n v="72.91"/>
    <x v="3"/>
    <s v="Light"/>
    <x v="0"/>
  </r>
  <r>
    <s v="NGG-24006-937"/>
    <x v="45"/>
    <x v="567"/>
    <s v="E-M-2.5"/>
    <n v="4"/>
    <x v="567"/>
    <s v="lflippellih4@github.io"/>
    <x v="2"/>
    <s v="Exc"/>
    <x v="0"/>
    <x v="2"/>
    <n v="31.624999999999996"/>
    <n v="126.49999999999999"/>
    <x v="1"/>
    <s v="Medium"/>
    <x v="1"/>
  </r>
  <r>
    <s v="JZC-31180-557"/>
    <x v="444"/>
    <x v="568"/>
    <s v="L-M-2.5"/>
    <n v="1"/>
    <x v="568"/>
    <s v="relizabethh5@live.com"/>
    <x v="0"/>
    <s v="Lib"/>
    <x v="0"/>
    <x v="2"/>
    <n v="33.464999999999996"/>
    <n v="33.464999999999996"/>
    <x v="3"/>
    <s v="Medium"/>
    <x v="1"/>
  </r>
  <r>
    <s v="ZMU-63715-204"/>
    <x v="479"/>
    <x v="569"/>
    <s v="E-D-1"/>
    <n v="6"/>
    <x v="569"/>
    <s v="irenhardh6@i2i.jp"/>
    <x v="0"/>
    <s v="Exc"/>
    <x v="2"/>
    <x v="0"/>
    <n v="12.15"/>
    <n v="72.900000000000006"/>
    <x v="1"/>
    <s v="Dark"/>
    <x v="0"/>
  </r>
  <r>
    <s v="GND-08192-056"/>
    <x v="480"/>
    <x v="570"/>
    <s v="L-D-0.5"/>
    <n v="2"/>
    <x v="570"/>
    <s v="wrocheh7@xinhuanet.com"/>
    <x v="0"/>
    <s v="Lib"/>
    <x v="2"/>
    <x v="1"/>
    <n v="7.77"/>
    <n v="15.54"/>
    <x v="3"/>
    <s v="Dark"/>
    <x v="0"/>
  </r>
  <r>
    <s v="RYY-38961-093"/>
    <x v="481"/>
    <x v="571"/>
    <s v="A-M-0.2"/>
    <n v="6"/>
    <x v="571"/>
    <s v="lalawayhh@weather.com"/>
    <x v="0"/>
    <s v="Ara"/>
    <x v="0"/>
    <x v="3"/>
    <n v="3.375"/>
    <n v="20.25"/>
    <x v="2"/>
    <s v="Medium"/>
    <x v="1"/>
  </r>
  <r>
    <s v="CVA-64996-969"/>
    <x v="478"/>
    <x v="572"/>
    <s v="A-L-1"/>
    <n v="6"/>
    <x v="572"/>
    <s v="codgaardh9@nsw.gov.au"/>
    <x v="0"/>
    <s v="Ara"/>
    <x v="1"/>
    <x v="0"/>
    <n v="12.95"/>
    <n v="77.699999999999989"/>
    <x v="2"/>
    <s v="Light"/>
    <x v="1"/>
  </r>
  <r>
    <s v="XTH-67276-442"/>
    <x v="482"/>
    <x v="573"/>
    <s v="L-M-2.5"/>
    <n v="4"/>
    <x v="573"/>
    <s v="bbyrdha@4shared.com"/>
    <x v="0"/>
    <s v="Lib"/>
    <x v="0"/>
    <x v="2"/>
    <n v="33.464999999999996"/>
    <n v="133.85999999999999"/>
    <x v="3"/>
    <s v="Medium"/>
    <x v="1"/>
  </r>
  <r>
    <s v="PVU-02950-470"/>
    <x v="353"/>
    <x v="574"/>
    <s v="E-D-1"/>
    <n v="1"/>
    <x v="574"/>
    <s v=""/>
    <x v="2"/>
    <s v="Exc"/>
    <x v="2"/>
    <x v="0"/>
    <n v="12.15"/>
    <n v="12.15"/>
    <x v="1"/>
    <s v="Dark"/>
    <x v="1"/>
  </r>
  <r>
    <s v="XSN-26809-910"/>
    <x v="199"/>
    <x v="575"/>
    <s v="E-M-2.5"/>
    <n v="2"/>
    <x v="575"/>
    <s v="dchardinhc@nhs.uk"/>
    <x v="1"/>
    <s v="Exc"/>
    <x v="0"/>
    <x v="2"/>
    <n v="31.624999999999996"/>
    <n v="63.249999999999993"/>
    <x v="1"/>
    <s v="Medium"/>
    <x v="0"/>
  </r>
  <r>
    <s v="UDN-88321-005"/>
    <x v="372"/>
    <x v="576"/>
    <s v="R-L-0.5"/>
    <n v="5"/>
    <x v="576"/>
    <s v="hradbonehd@newsvine.com"/>
    <x v="0"/>
    <s v="Rob"/>
    <x v="1"/>
    <x v="1"/>
    <n v="7.169999999999999"/>
    <n v="35.849999999999994"/>
    <x v="0"/>
    <s v="Light"/>
    <x v="1"/>
  </r>
  <r>
    <s v="EXP-21628-670"/>
    <x v="267"/>
    <x v="577"/>
    <s v="A-M-2.5"/>
    <n v="3"/>
    <x v="577"/>
    <s v="wbernthhe@miitbeian.gov.cn"/>
    <x v="0"/>
    <s v="Ara"/>
    <x v="0"/>
    <x v="2"/>
    <n v="25.874999999999996"/>
    <n v="77.624999999999986"/>
    <x v="2"/>
    <s v="Medium"/>
    <x v="1"/>
  </r>
  <r>
    <s v="VGM-24161-361"/>
    <x v="480"/>
    <x v="578"/>
    <s v="E-M-2.5"/>
    <n v="2"/>
    <x v="578"/>
    <s v="bacarsonhf@cnn.com"/>
    <x v="0"/>
    <s v="Exc"/>
    <x v="0"/>
    <x v="2"/>
    <n v="31.624999999999996"/>
    <n v="63.249999999999993"/>
    <x v="1"/>
    <s v="Medium"/>
    <x v="0"/>
  </r>
  <r>
    <s v="PKN-19556-918"/>
    <x v="483"/>
    <x v="579"/>
    <s v="E-L-0.2"/>
    <n v="6"/>
    <x v="579"/>
    <s v="fbrighamhg@blog.com"/>
    <x v="1"/>
    <s v="Exc"/>
    <x v="1"/>
    <x v="3"/>
    <n v="4.4550000000000001"/>
    <n v="26.73"/>
    <x v="1"/>
    <s v="Light"/>
    <x v="0"/>
  </r>
  <r>
    <s v="PKN-19556-918"/>
    <x v="483"/>
    <x v="579"/>
    <s v="L-D-0.5"/>
    <n v="4"/>
    <x v="579"/>
    <s v="fbrighamhg@blog.com"/>
    <x v="1"/>
    <s v="Lib"/>
    <x v="2"/>
    <x v="1"/>
    <n v="7.77"/>
    <n v="31.08"/>
    <x v="3"/>
    <s v="Dark"/>
    <x v="0"/>
  </r>
  <r>
    <s v="PKN-19556-918"/>
    <x v="483"/>
    <x v="579"/>
    <s v="A-D-0.2"/>
    <n v="1"/>
    <x v="579"/>
    <s v="fbrighamhg@blog.com"/>
    <x v="1"/>
    <s v="Ara"/>
    <x v="2"/>
    <x v="3"/>
    <n v="2.9849999999999999"/>
    <n v="2.9849999999999999"/>
    <x v="2"/>
    <s v="Dark"/>
    <x v="0"/>
  </r>
  <r>
    <s v="PKN-19556-918"/>
    <x v="483"/>
    <x v="579"/>
    <s v="R-D-2.5"/>
    <n v="5"/>
    <x v="579"/>
    <s v="fbrighamhg@blog.com"/>
    <x v="1"/>
    <s v="Rob"/>
    <x v="2"/>
    <x v="2"/>
    <n v="20.584999999999997"/>
    <n v="102.92499999999998"/>
    <x v="0"/>
    <s v="Dark"/>
    <x v="0"/>
  </r>
  <r>
    <s v="DXQ-44537-297"/>
    <x v="484"/>
    <x v="580"/>
    <s v="E-L-0.5"/>
    <n v="4"/>
    <x v="580"/>
    <s v="myoxenhk@google.com"/>
    <x v="0"/>
    <s v="Exc"/>
    <x v="1"/>
    <x v="1"/>
    <n v="8.91"/>
    <n v="35.64"/>
    <x v="1"/>
    <s v="Light"/>
    <x v="1"/>
  </r>
  <r>
    <s v="BPC-54727-307"/>
    <x v="485"/>
    <x v="581"/>
    <s v="R-L-1"/>
    <n v="4"/>
    <x v="581"/>
    <s v="gmcgavinhl@histats.com"/>
    <x v="0"/>
    <s v="Rob"/>
    <x v="1"/>
    <x v="0"/>
    <n v="11.95"/>
    <n v="47.8"/>
    <x v="0"/>
    <s v="Light"/>
    <x v="1"/>
  </r>
  <r>
    <s v="KSH-47717-456"/>
    <x v="486"/>
    <x v="582"/>
    <s v="L-M-1"/>
    <n v="3"/>
    <x v="582"/>
    <s v="luttermarehm@engadget.com"/>
    <x v="0"/>
    <s v="Lib"/>
    <x v="0"/>
    <x v="0"/>
    <n v="14.55"/>
    <n v="43.650000000000006"/>
    <x v="3"/>
    <s v="Medium"/>
    <x v="1"/>
  </r>
  <r>
    <s v="ANK-59436-446"/>
    <x v="487"/>
    <x v="583"/>
    <s v="E-L-0.5"/>
    <n v="4"/>
    <x v="583"/>
    <s v="edambrogiohn@techcrunch.com"/>
    <x v="0"/>
    <s v="Exc"/>
    <x v="1"/>
    <x v="1"/>
    <n v="8.91"/>
    <n v="35.64"/>
    <x v="1"/>
    <s v="Light"/>
    <x v="0"/>
  </r>
  <r>
    <s v="AYY-83051-752"/>
    <x v="488"/>
    <x v="584"/>
    <s v="L-L-1"/>
    <n v="6"/>
    <x v="584"/>
    <s v="cwinchcombeho@jiathis.com"/>
    <x v="0"/>
    <s v="Lib"/>
    <x v="1"/>
    <x v="0"/>
    <n v="15.85"/>
    <n v="95.1"/>
    <x v="3"/>
    <s v="Light"/>
    <x v="0"/>
  </r>
  <r>
    <s v="CSW-59644-267"/>
    <x v="489"/>
    <x v="585"/>
    <s v="E-M-2.5"/>
    <n v="1"/>
    <x v="585"/>
    <s v="bpaumierhp@umn.edu"/>
    <x v="1"/>
    <s v="Exc"/>
    <x v="0"/>
    <x v="2"/>
    <n v="31.624999999999996"/>
    <n v="31.624999999999996"/>
    <x v="1"/>
    <s v="Medium"/>
    <x v="0"/>
  </r>
  <r>
    <s v="ITY-92466-909"/>
    <x v="162"/>
    <x v="586"/>
    <s v="A-M-2.5"/>
    <n v="3"/>
    <x v="586"/>
    <s v=""/>
    <x v="1"/>
    <s v="Ara"/>
    <x v="0"/>
    <x v="2"/>
    <n v="25.874999999999996"/>
    <n v="77.624999999999986"/>
    <x v="2"/>
    <s v="Medium"/>
    <x v="0"/>
  </r>
  <r>
    <s v="IGW-04801-466"/>
    <x v="490"/>
    <x v="587"/>
    <s v="L-D-0.2"/>
    <n v="1"/>
    <x v="587"/>
    <s v="jcapeyhr@bravesites.com"/>
    <x v="0"/>
    <s v="Lib"/>
    <x v="2"/>
    <x v="3"/>
    <n v="3.8849999999999998"/>
    <n v="3.8849999999999998"/>
    <x v="3"/>
    <s v="Dark"/>
    <x v="0"/>
  </r>
  <r>
    <s v="LJN-34281-921"/>
    <x v="491"/>
    <x v="588"/>
    <s v="R-L-2.5"/>
    <n v="5"/>
    <x v="588"/>
    <s v="tmathonneti0@google.co.jp"/>
    <x v="0"/>
    <s v="Rob"/>
    <x v="1"/>
    <x v="2"/>
    <n v="27.484999999999996"/>
    <n v="137.42499999999998"/>
    <x v="0"/>
    <s v="Light"/>
    <x v="1"/>
  </r>
  <r>
    <s v="BWZ-46364-547"/>
    <x v="301"/>
    <x v="589"/>
    <s v="R-L-1"/>
    <n v="3"/>
    <x v="589"/>
    <s v="ybasillht@theguardian.com"/>
    <x v="0"/>
    <s v="Rob"/>
    <x v="1"/>
    <x v="0"/>
    <n v="11.95"/>
    <n v="35.849999999999994"/>
    <x v="0"/>
    <s v="Light"/>
    <x v="0"/>
  </r>
  <r>
    <s v="SBC-95710-706"/>
    <x v="194"/>
    <x v="590"/>
    <s v="E-M-0.2"/>
    <n v="2"/>
    <x v="590"/>
    <s v="mbaistowhu@i2i.jp"/>
    <x v="2"/>
    <s v="Exc"/>
    <x v="0"/>
    <x v="3"/>
    <n v="4.125"/>
    <n v="8.25"/>
    <x v="1"/>
    <s v="Medium"/>
    <x v="0"/>
  </r>
  <r>
    <s v="WRN-55114-031"/>
    <x v="26"/>
    <x v="591"/>
    <s v="E-L-2.5"/>
    <n v="3"/>
    <x v="591"/>
    <s v="cpallanthv@typepad.com"/>
    <x v="0"/>
    <s v="Exc"/>
    <x v="1"/>
    <x v="2"/>
    <n v="34.154999999999994"/>
    <n v="102.46499999999997"/>
    <x v="1"/>
    <s v="Light"/>
    <x v="0"/>
  </r>
  <r>
    <s v="TZU-64255-831"/>
    <x v="125"/>
    <x v="592"/>
    <s v="R-D-2.5"/>
    <n v="2"/>
    <x v="592"/>
    <s v=""/>
    <x v="0"/>
    <s v="Rob"/>
    <x v="2"/>
    <x v="2"/>
    <n v="20.584999999999997"/>
    <n v="41.169999999999995"/>
    <x v="0"/>
    <s v="Dark"/>
    <x v="1"/>
  </r>
  <r>
    <s v="JVF-91003-729"/>
    <x v="492"/>
    <x v="593"/>
    <s v="A-D-2.5"/>
    <n v="3"/>
    <x v="593"/>
    <s v="dohx@redcross.org"/>
    <x v="0"/>
    <s v="Ara"/>
    <x v="2"/>
    <x v="2"/>
    <n v="22.884999999999998"/>
    <n v="68.655000000000001"/>
    <x v="2"/>
    <s v="Dark"/>
    <x v="0"/>
  </r>
  <r>
    <s v="MVB-22135-665"/>
    <x v="462"/>
    <x v="594"/>
    <s v="A-D-1"/>
    <n v="1"/>
    <x v="594"/>
    <s v="drallinhy@howstuffworks.com"/>
    <x v="0"/>
    <s v="Ara"/>
    <x v="2"/>
    <x v="0"/>
    <n v="9.9499999999999993"/>
    <n v="9.9499999999999993"/>
    <x v="2"/>
    <s v="Dark"/>
    <x v="0"/>
  </r>
  <r>
    <s v="CKS-47815-571"/>
    <x v="493"/>
    <x v="595"/>
    <s v="L-L-0.5"/>
    <n v="3"/>
    <x v="595"/>
    <s v="achillhz@epa.gov"/>
    <x v="2"/>
    <s v="Lib"/>
    <x v="1"/>
    <x v="1"/>
    <n v="9.51"/>
    <n v="28.53"/>
    <x v="3"/>
    <s v="Light"/>
    <x v="0"/>
  </r>
  <r>
    <s v="OAW-17338-101"/>
    <x v="494"/>
    <x v="588"/>
    <s v="R-D-0.2"/>
    <n v="6"/>
    <x v="588"/>
    <s v="tmathonneti0@google.co.jp"/>
    <x v="0"/>
    <s v="Rob"/>
    <x v="2"/>
    <x v="3"/>
    <n v="2.6849999999999996"/>
    <n v="16.11"/>
    <x v="0"/>
    <s v="Dark"/>
    <x v="1"/>
  </r>
  <r>
    <s v="ALP-37623-536"/>
    <x v="495"/>
    <x v="596"/>
    <s v="L-L-1"/>
    <n v="6"/>
    <x v="596"/>
    <s v="cdenysi1@is.gd"/>
    <x v="2"/>
    <s v="Lib"/>
    <x v="1"/>
    <x v="0"/>
    <n v="15.85"/>
    <n v="95.1"/>
    <x v="3"/>
    <s v="Light"/>
    <x v="1"/>
  </r>
  <r>
    <s v="WMU-87639-108"/>
    <x v="496"/>
    <x v="597"/>
    <s v="R-D-0.5"/>
    <n v="1"/>
    <x v="597"/>
    <s v="cstebbingsi2@drupal.org"/>
    <x v="0"/>
    <s v="Rob"/>
    <x v="2"/>
    <x v="1"/>
    <n v="5.3699999999999992"/>
    <n v="5.3699999999999992"/>
    <x v="0"/>
    <s v="Dark"/>
    <x v="0"/>
  </r>
  <r>
    <s v="USN-44968-231"/>
    <x v="497"/>
    <x v="598"/>
    <s v="R-L-1"/>
    <n v="4"/>
    <x v="598"/>
    <s v=""/>
    <x v="0"/>
    <s v="Rob"/>
    <x v="1"/>
    <x v="0"/>
    <n v="11.95"/>
    <n v="47.8"/>
    <x v="0"/>
    <s v="Light"/>
    <x v="1"/>
  </r>
  <r>
    <s v="YZG-20575-451"/>
    <x v="498"/>
    <x v="599"/>
    <s v="L-L-1"/>
    <n v="4"/>
    <x v="599"/>
    <s v="rzywickii4@ifeng.com"/>
    <x v="1"/>
    <s v="Lib"/>
    <x v="1"/>
    <x v="0"/>
    <n v="15.85"/>
    <n v="63.4"/>
    <x v="3"/>
    <s v="Light"/>
    <x v="1"/>
  </r>
  <r>
    <s v="HTH-52867-812"/>
    <x v="382"/>
    <x v="600"/>
    <s v="A-M-2.5"/>
    <n v="4"/>
    <x v="600"/>
    <s v="aburgetti5@moonfruit.com"/>
    <x v="0"/>
    <s v="Ara"/>
    <x v="0"/>
    <x v="2"/>
    <n v="25.874999999999996"/>
    <n v="103.49999999999999"/>
    <x v="2"/>
    <s v="Medium"/>
    <x v="1"/>
  </r>
  <r>
    <s v="FWU-44971-444"/>
    <x v="499"/>
    <x v="601"/>
    <s v="A-D-2.5"/>
    <n v="3"/>
    <x v="601"/>
    <s v="mmalloyi6@seattletimes.com"/>
    <x v="0"/>
    <s v="Ara"/>
    <x v="2"/>
    <x v="2"/>
    <n v="22.884999999999998"/>
    <n v="68.655000000000001"/>
    <x v="2"/>
    <s v="Dark"/>
    <x v="1"/>
  </r>
  <r>
    <s v="EQI-82205-066"/>
    <x v="500"/>
    <x v="602"/>
    <s v="R-M-2.5"/>
    <n v="2"/>
    <x v="602"/>
    <s v="mmcparlandi7@w3.org"/>
    <x v="0"/>
    <s v="Rob"/>
    <x v="0"/>
    <x v="2"/>
    <n v="22.884999999999998"/>
    <n v="45.769999999999996"/>
    <x v="0"/>
    <s v="Medium"/>
    <x v="0"/>
  </r>
  <r>
    <s v="NAR-00747-074"/>
    <x v="501"/>
    <x v="603"/>
    <s v="L-D-1"/>
    <n v="4"/>
    <x v="603"/>
    <s v="sjennaroyi8@purevolume.com"/>
    <x v="0"/>
    <s v="Lib"/>
    <x v="2"/>
    <x v="0"/>
    <n v="12.95"/>
    <n v="51.8"/>
    <x v="3"/>
    <s v="Dark"/>
    <x v="1"/>
  </r>
  <r>
    <s v="JYR-22052-185"/>
    <x v="502"/>
    <x v="604"/>
    <s v="A-M-0.5"/>
    <n v="2"/>
    <x v="604"/>
    <s v="wplacei9@wsj.com"/>
    <x v="0"/>
    <s v="Ara"/>
    <x v="0"/>
    <x v="1"/>
    <n v="6.75"/>
    <n v="13.5"/>
    <x v="2"/>
    <s v="Medium"/>
    <x v="0"/>
  </r>
  <r>
    <s v="XKO-54097-932"/>
    <x v="503"/>
    <x v="605"/>
    <s v="E-M-0.5"/>
    <n v="3"/>
    <x v="605"/>
    <s v="jmillettik@addtoany.com"/>
    <x v="0"/>
    <s v="Exc"/>
    <x v="0"/>
    <x v="1"/>
    <n v="8.25"/>
    <n v="24.75"/>
    <x v="1"/>
    <s v="Medium"/>
    <x v="0"/>
  </r>
  <r>
    <s v="HXA-72415-025"/>
    <x v="504"/>
    <x v="606"/>
    <s v="A-D-2.5"/>
    <n v="2"/>
    <x v="606"/>
    <s v="dgadsdenib@google.com.hk"/>
    <x v="1"/>
    <s v="Ara"/>
    <x v="2"/>
    <x v="2"/>
    <n v="22.884999999999998"/>
    <n v="45.769999999999996"/>
    <x v="2"/>
    <s v="Dark"/>
    <x v="0"/>
  </r>
  <r>
    <s v="MJF-20065-335"/>
    <x v="497"/>
    <x v="607"/>
    <s v="E-L-0.5"/>
    <n v="6"/>
    <x v="607"/>
    <s v="vwakelinic@unesco.org"/>
    <x v="0"/>
    <s v="Exc"/>
    <x v="1"/>
    <x v="1"/>
    <n v="8.91"/>
    <n v="53.46"/>
    <x v="1"/>
    <s v="Light"/>
    <x v="1"/>
  </r>
  <r>
    <s v="GFI-83300-059"/>
    <x v="501"/>
    <x v="608"/>
    <s v="A-M-0.2"/>
    <n v="6"/>
    <x v="608"/>
    <s v="acampsallid@zimbio.com"/>
    <x v="0"/>
    <s v="Ara"/>
    <x v="0"/>
    <x v="3"/>
    <n v="3.375"/>
    <n v="20.25"/>
    <x v="2"/>
    <s v="Medium"/>
    <x v="0"/>
  </r>
  <r>
    <s v="WJR-51493-682"/>
    <x v="1"/>
    <x v="609"/>
    <s v="L-D-2.5"/>
    <n v="5"/>
    <x v="609"/>
    <s v="smosebyie@stanford.edu"/>
    <x v="0"/>
    <s v="Lib"/>
    <x v="2"/>
    <x v="2"/>
    <n v="29.784999999999997"/>
    <n v="148.92499999999998"/>
    <x v="3"/>
    <s v="Dark"/>
    <x v="1"/>
  </r>
  <r>
    <s v="SHP-55648-472"/>
    <x v="505"/>
    <x v="610"/>
    <s v="A-M-1"/>
    <n v="6"/>
    <x v="610"/>
    <s v="cwassif@prweb.com"/>
    <x v="0"/>
    <s v="Ara"/>
    <x v="0"/>
    <x v="0"/>
    <n v="11.25"/>
    <n v="67.5"/>
    <x v="2"/>
    <s v="Medium"/>
    <x v="1"/>
  </r>
  <r>
    <s v="HYR-03455-684"/>
    <x v="506"/>
    <x v="611"/>
    <s v="E-D-1"/>
    <n v="6"/>
    <x v="611"/>
    <s v="isjostromig@pbs.org"/>
    <x v="0"/>
    <s v="Exc"/>
    <x v="2"/>
    <x v="0"/>
    <n v="12.15"/>
    <n v="72.900000000000006"/>
    <x v="1"/>
    <s v="Dark"/>
    <x v="1"/>
  </r>
  <r>
    <s v="HYR-03455-684"/>
    <x v="506"/>
    <x v="611"/>
    <s v="L-D-0.2"/>
    <n v="2"/>
    <x v="611"/>
    <s v="isjostromig@pbs.org"/>
    <x v="0"/>
    <s v="Lib"/>
    <x v="2"/>
    <x v="3"/>
    <n v="3.8849999999999998"/>
    <n v="7.77"/>
    <x v="3"/>
    <s v="Dark"/>
    <x v="1"/>
  </r>
  <r>
    <s v="HUG-52766-375"/>
    <x v="507"/>
    <x v="612"/>
    <s v="A-D-2.5"/>
    <n v="4"/>
    <x v="612"/>
    <s v="jbranchettii@bravesites.com"/>
    <x v="0"/>
    <s v="Ara"/>
    <x v="2"/>
    <x v="2"/>
    <n v="22.884999999999998"/>
    <n v="91.539999999999992"/>
    <x v="2"/>
    <s v="Dark"/>
    <x v="1"/>
  </r>
  <r>
    <s v="DAH-46595-917"/>
    <x v="508"/>
    <x v="613"/>
    <s v="A-D-1"/>
    <n v="6"/>
    <x v="613"/>
    <s v="nrudlandij@blogs.com"/>
    <x v="1"/>
    <s v="Ara"/>
    <x v="2"/>
    <x v="0"/>
    <n v="9.9499999999999993"/>
    <n v="59.699999999999996"/>
    <x v="2"/>
    <s v="Dark"/>
    <x v="1"/>
  </r>
  <r>
    <s v="VEM-79839-466"/>
    <x v="509"/>
    <x v="605"/>
    <s v="R-L-2.5"/>
    <n v="5"/>
    <x v="605"/>
    <s v="jmillettik@addtoany.com"/>
    <x v="0"/>
    <s v="Rob"/>
    <x v="1"/>
    <x v="2"/>
    <n v="27.484999999999996"/>
    <n v="137.42499999999998"/>
    <x v="0"/>
    <s v="Light"/>
    <x v="0"/>
  </r>
  <r>
    <s v="OWH-11126-533"/>
    <x v="131"/>
    <x v="614"/>
    <s v="L-M-2.5"/>
    <n v="2"/>
    <x v="614"/>
    <s v="ftourryil@google.de"/>
    <x v="0"/>
    <s v="Lib"/>
    <x v="0"/>
    <x v="2"/>
    <n v="33.464999999999996"/>
    <n v="66.929999999999993"/>
    <x v="3"/>
    <s v="Medium"/>
    <x v="1"/>
  </r>
  <r>
    <s v="UMT-26130-151"/>
    <x v="510"/>
    <x v="615"/>
    <s v="L-M-0.2"/>
    <n v="3"/>
    <x v="615"/>
    <s v="cweatherallim@toplist.cz"/>
    <x v="0"/>
    <s v="Lib"/>
    <x v="0"/>
    <x v="3"/>
    <n v="4.3650000000000002"/>
    <n v="13.095000000000001"/>
    <x v="3"/>
    <s v="Medium"/>
    <x v="0"/>
  </r>
  <r>
    <s v="JKA-27899-806"/>
    <x v="511"/>
    <x v="616"/>
    <s v="R-L-1"/>
    <n v="5"/>
    <x v="616"/>
    <s v="gheindrickin@usda.gov"/>
    <x v="0"/>
    <s v="Rob"/>
    <x v="1"/>
    <x v="0"/>
    <n v="11.95"/>
    <n v="59.75"/>
    <x v="0"/>
    <s v="Light"/>
    <x v="1"/>
  </r>
  <r>
    <s v="ULU-07744-724"/>
    <x v="512"/>
    <x v="617"/>
    <s v="L-M-0.5"/>
    <n v="5"/>
    <x v="617"/>
    <s v="limasonio@discuz.net"/>
    <x v="0"/>
    <s v="Lib"/>
    <x v="0"/>
    <x v="1"/>
    <n v="8.73"/>
    <n v="43.650000000000006"/>
    <x v="3"/>
    <s v="Medium"/>
    <x v="0"/>
  </r>
  <r>
    <s v="NOM-56457-507"/>
    <x v="513"/>
    <x v="618"/>
    <s v="E-M-1"/>
    <n v="6"/>
    <x v="618"/>
    <s v="hsaillip@odnoklassniki.ru"/>
    <x v="0"/>
    <s v="Exc"/>
    <x v="0"/>
    <x v="0"/>
    <n v="13.75"/>
    <n v="82.5"/>
    <x v="1"/>
    <s v="Medium"/>
    <x v="0"/>
  </r>
  <r>
    <s v="NZN-71683-705"/>
    <x v="514"/>
    <x v="619"/>
    <s v="A-L-2.5"/>
    <n v="6"/>
    <x v="619"/>
    <s v="hlarvoriq@last.fm"/>
    <x v="0"/>
    <s v="Ara"/>
    <x v="1"/>
    <x v="2"/>
    <n v="29.784999999999997"/>
    <n v="178.70999999999998"/>
    <x v="2"/>
    <s v="Light"/>
    <x v="0"/>
  </r>
  <r>
    <s v="WMA-34232-850"/>
    <x v="7"/>
    <x v="620"/>
    <s v="L-D-2.5"/>
    <n v="4"/>
    <x v="620"/>
    <s v=""/>
    <x v="0"/>
    <s v="Lib"/>
    <x v="2"/>
    <x v="2"/>
    <n v="29.784999999999997"/>
    <n v="119.13999999999999"/>
    <x v="3"/>
    <s v="Dark"/>
    <x v="0"/>
  </r>
  <r>
    <s v="EZL-27919-704"/>
    <x v="481"/>
    <x v="621"/>
    <s v="L-L-0.5"/>
    <n v="5"/>
    <x v="621"/>
    <s v=""/>
    <x v="0"/>
    <s v="Lib"/>
    <x v="1"/>
    <x v="1"/>
    <n v="9.51"/>
    <n v="47.55"/>
    <x v="3"/>
    <s v="Light"/>
    <x v="1"/>
  </r>
  <r>
    <s v="ZYU-11345-774"/>
    <x v="515"/>
    <x v="622"/>
    <s v="L-M-0.5"/>
    <n v="5"/>
    <x v="622"/>
    <s v="cpenwardenit@mlb.com"/>
    <x v="1"/>
    <s v="Lib"/>
    <x v="0"/>
    <x v="1"/>
    <n v="8.73"/>
    <n v="43.650000000000006"/>
    <x v="3"/>
    <s v="Medium"/>
    <x v="1"/>
  </r>
  <r>
    <s v="CPW-34587-459"/>
    <x v="516"/>
    <x v="623"/>
    <s v="A-L-2.5"/>
    <n v="6"/>
    <x v="623"/>
    <s v="mmiddisiu@dmoz.org"/>
    <x v="0"/>
    <s v="Ara"/>
    <x v="1"/>
    <x v="2"/>
    <n v="29.784999999999997"/>
    <n v="178.70999999999998"/>
    <x v="2"/>
    <s v="Light"/>
    <x v="0"/>
  </r>
  <r>
    <s v="NQZ-82067-394"/>
    <x v="517"/>
    <x v="624"/>
    <s v="R-L-2.5"/>
    <n v="1"/>
    <x v="624"/>
    <s v="avairowiv@studiopress.com"/>
    <x v="2"/>
    <s v="Rob"/>
    <x v="1"/>
    <x v="2"/>
    <n v="27.484999999999996"/>
    <n v="27.484999999999996"/>
    <x v="0"/>
    <s v="Light"/>
    <x v="1"/>
  </r>
  <r>
    <s v="JBW-95055-851"/>
    <x v="518"/>
    <x v="625"/>
    <s v="A-M-1"/>
    <n v="5"/>
    <x v="625"/>
    <s v="agoldieiw@goo.gl"/>
    <x v="0"/>
    <s v="Ara"/>
    <x v="0"/>
    <x v="0"/>
    <n v="11.25"/>
    <n v="56.25"/>
    <x v="2"/>
    <s v="Medium"/>
    <x v="1"/>
  </r>
  <r>
    <s v="AHY-20324-088"/>
    <x v="519"/>
    <x v="626"/>
    <s v="L-L-0.2"/>
    <n v="2"/>
    <x v="626"/>
    <s v="nayrisix@t-online.de"/>
    <x v="2"/>
    <s v="Lib"/>
    <x v="1"/>
    <x v="3"/>
    <n v="4.7549999999999999"/>
    <n v="9.51"/>
    <x v="3"/>
    <s v="Light"/>
    <x v="0"/>
  </r>
  <r>
    <s v="ZSL-66684-103"/>
    <x v="520"/>
    <x v="627"/>
    <s v="E-M-0.2"/>
    <n v="2"/>
    <x v="627"/>
    <s v="lbenediktovichiy@wunderground.com"/>
    <x v="0"/>
    <s v="Exc"/>
    <x v="0"/>
    <x v="3"/>
    <n v="4.125"/>
    <n v="8.25"/>
    <x v="1"/>
    <s v="Medium"/>
    <x v="0"/>
  </r>
  <r>
    <s v="WNE-73911-475"/>
    <x v="521"/>
    <x v="628"/>
    <s v="L-D-0.5"/>
    <n v="6"/>
    <x v="628"/>
    <s v="tjacobovitziz@cbc.ca"/>
    <x v="0"/>
    <s v="Lib"/>
    <x v="2"/>
    <x v="1"/>
    <n v="7.77"/>
    <n v="46.62"/>
    <x v="3"/>
    <s v="Dark"/>
    <x v="1"/>
  </r>
  <r>
    <s v="EZB-68383-559"/>
    <x v="418"/>
    <x v="629"/>
    <s v="R-L-1"/>
    <n v="6"/>
    <x v="629"/>
    <s v=""/>
    <x v="0"/>
    <s v="Rob"/>
    <x v="1"/>
    <x v="0"/>
    <n v="11.95"/>
    <n v="71.699999999999989"/>
    <x v="0"/>
    <s v="Light"/>
    <x v="1"/>
  </r>
  <r>
    <s v="OVO-01283-090"/>
    <x v="122"/>
    <x v="630"/>
    <s v="L-L-2.5"/>
    <n v="2"/>
    <x v="630"/>
    <s v="jdruittj1@feedburner.com"/>
    <x v="0"/>
    <s v="Lib"/>
    <x v="1"/>
    <x v="2"/>
    <n v="36.454999999999998"/>
    <n v="72.91"/>
    <x v="3"/>
    <s v="Light"/>
    <x v="0"/>
  </r>
  <r>
    <s v="TXH-78646-919"/>
    <x v="423"/>
    <x v="631"/>
    <s v="R-D-0.2"/>
    <n v="3"/>
    <x v="631"/>
    <s v="dshortallj2@wikipedia.org"/>
    <x v="0"/>
    <s v="Rob"/>
    <x v="2"/>
    <x v="3"/>
    <n v="2.6849999999999996"/>
    <n v="8.0549999999999997"/>
    <x v="0"/>
    <s v="Dark"/>
    <x v="0"/>
  </r>
  <r>
    <s v="CYZ-37122-164"/>
    <x v="463"/>
    <x v="632"/>
    <s v="E-M-0.5"/>
    <n v="2"/>
    <x v="632"/>
    <s v="wcottierj3@cafepress.com"/>
    <x v="0"/>
    <s v="Exc"/>
    <x v="0"/>
    <x v="1"/>
    <n v="8.25"/>
    <n v="16.5"/>
    <x v="1"/>
    <s v="Medium"/>
    <x v="1"/>
  </r>
  <r>
    <s v="AGQ-06534-750"/>
    <x v="273"/>
    <x v="633"/>
    <s v="A-L-1"/>
    <n v="5"/>
    <x v="633"/>
    <s v="kgrinstedj4@google.com.br"/>
    <x v="1"/>
    <s v="Ara"/>
    <x v="1"/>
    <x v="0"/>
    <n v="12.95"/>
    <n v="64.75"/>
    <x v="2"/>
    <s v="Light"/>
    <x v="1"/>
  </r>
  <r>
    <s v="QVL-32245-818"/>
    <x v="522"/>
    <x v="634"/>
    <s v="A-M-0.5"/>
    <n v="5"/>
    <x v="634"/>
    <s v="dskynerj5@hubpages.com"/>
    <x v="0"/>
    <s v="Ara"/>
    <x v="0"/>
    <x v="1"/>
    <n v="6.75"/>
    <n v="33.75"/>
    <x v="2"/>
    <s v="Medium"/>
    <x v="1"/>
  </r>
  <r>
    <s v="LTD-96842-834"/>
    <x v="523"/>
    <x v="635"/>
    <s v="L-D-2.5"/>
    <n v="6"/>
    <x v="635"/>
    <s v=""/>
    <x v="0"/>
    <s v="Lib"/>
    <x v="2"/>
    <x v="2"/>
    <n v="29.784999999999997"/>
    <n v="178.70999999999998"/>
    <x v="3"/>
    <s v="Dark"/>
    <x v="1"/>
  </r>
  <r>
    <s v="SEC-91807-425"/>
    <x v="260"/>
    <x v="636"/>
    <s v="A-M-1"/>
    <n v="2"/>
    <x v="636"/>
    <s v="jdymokeje@prnewswire.com"/>
    <x v="1"/>
    <s v="Ara"/>
    <x v="0"/>
    <x v="0"/>
    <n v="11.25"/>
    <n v="22.5"/>
    <x v="2"/>
    <s v="Medium"/>
    <x v="1"/>
  </r>
  <r>
    <s v="MHM-44857-599"/>
    <x v="331"/>
    <x v="637"/>
    <s v="L-D-1"/>
    <n v="1"/>
    <x v="637"/>
    <s v="aweinmannj8@shinystat.com"/>
    <x v="0"/>
    <s v="Lib"/>
    <x v="2"/>
    <x v="0"/>
    <n v="12.95"/>
    <n v="12.95"/>
    <x v="3"/>
    <s v="Dark"/>
    <x v="1"/>
  </r>
  <r>
    <s v="KGC-95046-911"/>
    <x v="524"/>
    <x v="638"/>
    <s v="A-M-2.5"/>
    <n v="2"/>
    <x v="638"/>
    <s v="eandriessenj9@europa.eu"/>
    <x v="0"/>
    <s v="Ara"/>
    <x v="0"/>
    <x v="2"/>
    <n v="25.874999999999996"/>
    <n v="51.749999999999993"/>
    <x v="2"/>
    <s v="Medium"/>
    <x v="0"/>
  </r>
  <r>
    <s v="RZC-75150-413"/>
    <x v="525"/>
    <x v="639"/>
    <s v="E-D-0.5"/>
    <n v="5"/>
    <x v="639"/>
    <s v="rdeaconsonja@archive.org"/>
    <x v="0"/>
    <s v="Exc"/>
    <x v="2"/>
    <x v="1"/>
    <n v="7.29"/>
    <n v="36.450000000000003"/>
    <x v="1"/>
    <s v="Dark"/>
    <x v="1"/>
  </r>
  <r>
    <s v="EYH-88288-452"/>
    <x v="526"/>
    <x v="640"/>
    <s v="L-L-2.5"/>
    <n v="5"/>
    <x v="640"/>
    <s v="dcarojb@twitter.com"/>
    <x v="0"/>
    <s v="Lib"/>
    <x v="1"/>
    <x v="2"/>
    <n v="36.454999999999998"/>
    <n v="182.27499999999998"/>
    <x v="3"/>
    <s v="Light"/>
    <x v="0"/>
  </r>
  <r>
    <s v="NYQ-24237-772"/>
    <x v="104"/>
    <x v="641"/>
    <s v="L-D-0.5"/>
    <n v="4"/>
    <x v="641"/>
    <s v="jbluckjc@imageshack.us"/>
    <x v="0"/>
    <s v="Lib"/>
    <x v="2"/>
    <x v="1"/>
    <n v="7.77"/>
    <n v="31.08"/>
    <x v="3"/>
    <s v="Dark"/>
    <x v="1"/>
  </r>
  <r>
    <s v="WKB-21680-566"/>
    <x v="491"/>
    <x v="642"/>
    <s v="A-M-0.5"/>
    <n v="3"/>
    <x v="642"/>
    <s v=""/>
    <x v="1"/>
    <s v="Ara"/>
    <x v="0"/>
    <x v="1"/>
    <n v="6.75"/>
    <n v="20.25"/>
    <x v="2"/>
    <s v="Medium"/>
    <x v="1"/>
  </r>
  <r>
    <s v="THE-61147-027"/>
    <x v="157"/>
    <x v="636"/>
    <s v="L-D-1"/>
    <n v="2"/>
    <x v="636"/>
    <s v="jdymokeje@prnewswire.com"/>
    <x v="1"/>
    <s v="Lib"/>
    <x v="2"/>
    <x v="0"/>
    <n v="12.95"/>
    <n v="25.9"/>
    <x v="3"/>
    <s v="Dark"/>
    <x v="1"/>
  </r>
  <r>
    <s v="PTY-86420-119"/>
    <x v="527"/>
    <x v="643"/>
    <s v="A-D-0.5"/>
    <n v="4"/>
    <x v="643"/>
    <s v="otadmanjf@ft.com"/>
    <x v="0"/>
    <s v="Ara"/>
    <x v="2"/>
    <x v="1"/>
    <n v="5.97"/>
    <n v="23.88"/>
    <x v="2"/>
    <s v="Dark"/>
    <x v="0"/>
  </r>
  <r>
    <s v="QHL-27188-431"/>
    <x v="528"/>
    <x v="644"/>
    <s v="L-L-0.5"/>
    <n v="2"/>
    <x v="644"/>
    <s v="bguddejg@dailymotion.com"/>
    <x v="0"/>
    <s v="Lib"/>
    <x v="1"/>
    <x v="1"/>
    <n v="9.51"/>
    <n v="19.02"/>
    <x v="3"/>
    <s v="Light"/>
    <x v="1"/>
  </r>
  <r>
    <s v="MIS-54381-047"/>
    <x v="99"/>
    <x v="645"/>
    <s v="A-D-0.5"/>
    <n v="5"/>
    <x v="645"/>
    <s v="nsictornesjh@buzzfeed.com"/>
    <x v="1"/>
    <s v="Ara"/>
    <x v="2"/>
    <x v="1"/>
    <n v="5.97"/>
    <n v="29.849999999999998"/>
    <x v="2"/>
    <s v="Dark"/>
    <x v="0"/>
  </r>
  <r>
    <s v="TBB-29780-459"/>
    <x v="529"/>
    <x v="646"/>
    <s v="A-L-0.5"/>
    <n v="1"/>
    <x v="646"/>
    <s v="vdunningji@independent.co.uk"/>
    <x v="0"/>
    <s v="Ara"/>
    <x v="1"/>
    <x v="1"/>
    <n v="7.77"/>
    <n v="7.77"/>
    <x v="2"/>
    <s v="Light"/>
    <x v="0"/>
  </r>
  <r>
    <s v="QLC-52637-305"/>
    <x v="530"/>
    <x v="647"/>
    <s v="L-D-2.5"/>
    <n v="4"/>
    <x v="647"/>
    <s v=""/>
    <x v="1"/>
    <s v="Lib"/>
    <x v="2"/>
    <x v="2"/>
    <n v="29.784999999999997"/>
    <n v="119.13999999999999"/>
    <x v="3"/>
    <s v="Dark"/>
    <x v="0"/>
  </r>
  <r>
    <s v="CWT-27056-328"/>
    <x v="531"/>
    <x v="648"/>
    <s v="E-D-0.2"/>
    <n v="6"/>
    <x v="648"/>
    <s v=""/>
    <x v="0"/>
    <s v="Exc"/>
    <x v="2"/>
    <x v="3"/>
    <n v="3.645"/>
    <n v="21.87"/>
    <x v="1"/>
    <s v="Dark"/>
    <x v="0"/>
  </r>
  <r>
    <s v="ASS-05878-128"/>
    <x v="210"/>
    <x v="649"/>
    <s v="E-L-0.5"/>
    <n v="2"/>
    <x v="649"/>
    <s v="sgehringjl@gnu.org"/>
    <x v="0"/>
    <s v="Exc"/>
    <x v="1"/>
    <x v="1"/>
    <n v="8.91"/>
    <n v="17.82"/>
    <x v="1"/>
    <s v="Light"/>
    <x v="1"/>
  </r>
  <r>
    <s v="EGK-03027-418"/>
    <x v="532"/>
    <x v="650"/>
    <s v="E-M-0.2"/>
    <n v="3"/>
    <x v="650"/>
    <s v="bfallowesjm@purevolume.com"/>
    <x v="0"/>
    <s v="Exc"/>
    <x v="0"/>
    <x v="3"/>
    <n v="4.125"/>
    <n v="12.375"/>
    <x v="1"/>
    <s v="Medium"/>
    <x v="1"/>
  </r>
  <r>
    <s v="KCY-61732-849"/>
    <x v="533"/>
    <x v="651"/>
    <s v="L-D-1"/>
    <n v="2"/>
    <x v="651"/>
    <s v=""/>
    <x v="1"/>
    <s v="Lib"/>
    <x v="2"/>
    <x v="0"/>
    <n v="12.95"/>
    <n v="25.9"/>
    <x v="3"/>
    <s v="Dark"/>
    <x v="1"/>
  </r>
  <r>
    <s v="BLI-21697-702"/>
    <x v="534"/>
    <x v="652"/>
    <s v="A-M-0.5"/>
    <n v="2"/>
    <x v="652"/>
    <s v="sdejo@newsvine.com"/>
    <x v="0"/>
    <s v="Ara"/>
    <x v="0"/>
    <x v="1"/>
    <n v="6.75"/>
    <n v="13.5"/>
    <x v="2"/>
    <s v="Medium"/>
    <x v="0"/>
  </r>
  <r>
    <s v="KFJ-46568-890"/>
    <x v="535"/>
    <x v="653"/>
    <s v="E-L-0.5"/>
    <n v="2"/>
    <x v="653"/>
    <s v=""/>
    <x v="0"/>
    <s v="Exc"/>
    <x v="1"/>
    <x v="1"/>
    <n v="8.91"/>
    <n v="17.82"/>
    <x v="1"/>
    <s v="Light"/>
    <x v="0"/>
  </r>
  <r>
    <s v="SOK-43535-680"/>
    <x v="536"/>
    <x v="654"/>
    <s v="E-M-0.5"/>
    <n v="3"/>
    <x v="654"/>
    <s v="scountjq@nba.com"/>
    <x v="0"/>
    <s v="Exc"/>
    <x v="0"/>
    <x v="1"/>
    <n v="8.25"/>
    <n v="24.75"/>
    <x v="1"/>
    <s v="Medium"/>
    <x v="1"/>
  </r>
  <r>
    <s v="XUE-87260-201"/>
    <x v="537"/>
    <x v="655"/>
    <s v="R-M-0.2"/>
    <n v="6"/>
    <x v="655"/>
    <s v="sraglesjr@blogtalkradio.com"/>
    <x v="0"/>
    <s v="Rob"/>
    <x v="0"/>
    <x v="3"/>
    <n v="2.9849999999999999"/>
    <n v="17.91"/>
    <x v="0"/>
    <s v="Medium"/>
    <x v="1"/>
  </r>
  <r>
    <s v="CZF-40873-691"/>
    <x v="61"/>
    <x v="656"/>
    <s v="E-M-0.5"/>
    <n v="2"/>
    <x v="656"/>
    <s v=""/>
    <x v="2"/>
    <s v="Exc"/>
    <x v="0"/>
    <x v="1"/>
    <n v="8.25"/>
    <n v="16.5"/>
    <x v="1"/>
    <s v="Medium"/>
    <x v="1"/>
  </r>
  <r>
    <s v="AIA-98989-755"/>
    <x v="242"/>
    <x v="657"/>
    <s v="R-M-0.2"/>
    <n v="1"/>
    <x v="657"/>
    <s v="sbruunjt@blogtalkradio.com"/>
    <x v="0"/>
    <s v="Rob"/>
    <x v="0"/>
    <x v="3"/>
    <n v="2.9849999999999999"/>
    <n v="2.9849999999999999"/>
    <x v="0"/>
    <s v="Medium"/>
    <x v="1"/>
  </r>
  <r>
    <s v="ITZ-21793-986"/>
    <x v="299"/>
    <x v="658"/>
    <s v="E-D-0.2"/>
    <n v="4"/>
    <x v="658"/>
    <s v="aplluju@dagondesign.com"/>
    <x v="1"/>
    <s v="Exc"/>
    <x v="2"/>
    <x v="3"/>
    <n v="3.645"/>
    <n v="14.58"/>
    <x v="1"/>
    <s v="Dark"/>
    <x v="0"/>
  </r>
  <r>
    <s v="YOK-93322-608"/>
    <x v="343"/>
    <x v="659"/>
    <s v="E-L-1"/>
    <n v="6"/>
    <x v="659"/>
    <s v="gcornierjv@techcrunch.com"/>
    <x v="0"/>
    <s v="Exc"/>
    <x v="1"/>
    <x v="0"/>
    <n v="14.85"/>
    <n v="89.1"/>
    <x v="1"/>
    <s v="Light"/>
    <x v="1"/>
  </r>
  <r>
    <s v="LXK-00634-611"/>
    <x v="538"/>
    <x v="636"/>
    <s v="R-L-1"/>
    <n v="3"/>
    <x v="636"/>
    <s v="jdymokeje@prnewswire.com"/>
    <x v="1"/>
    <s v="Rob"/>
    <x v="1"/>
    <x v="0"/>
    <n v="11.95"/>
    <n v="35.849999999999994"/>
    <x v="0"/>
    <s v="Light"/>
    <x v="1"/>
  </r>
  <r>
    <s v="CQW-37388-302"/>
    <x v="539"/>
    <x v="660"/>
    <s v="A-D-2.5"/>
    <n v="3"/>
    <x v="660"/>
    <s v="wharvisonjx@gizmodo.com"/>
    <x v="0"/>
    <s v="Ara"/>
    <x v="2"/>
    <x v="2"/>
    <n v="22.884999999999998"/>
    <n v="68.655000000000001"/>
    <x v="2"/>
    <s v="Dark"/>
    <x v="1"/>
  </r>
  <r>
    <s v="SPA-79365-334"/>
    <x v="27"/>
    <x v="661"/>
    <s v="L-D-1"/>
    <n v="3"/>
    <x v="661"/>
    <s v="dheafordjy@twitpic.com"/>
    <x v="0"/>
    <s v="Lib"/>
    <x v="2"/>
    <x v="0"/>
    <n v="12.95"/>
    <n v="38.849999999999994"/>
    <x v="3"/>
    <s v="Dark"/>
    <x v="1"/>
  </r>
  <r>
    <s v="VPX-08817-517"/>
    <x v="540"/>
    <x v="662"/>
    <s v="L-L-1"/>
    <n v="5"/>
    <x v="662"/>
    <s v="gfanthamjz@hexun.com"/>
    <x v="0"/>
    <s v="Lib"/>
    <x v="1"/>
    <x v="0"/>
    <n v="15.85"/>
    <n v="79.25"/>
    <x v="3"/>
    <s v="Light"/>
    <x v="0"/>
  </r>
  <r>
    <s v="PBP-87115-410"/>
    <x v="541"/>
    <x v="663"/>
    <s v="E-D-0.5"/>
    <n v="5"/>
    <x v="663"/>
    <s v="rcrookshanksk0@unc.edu"/>
    <x v="0"/>
    <s v="Exc"/>
    <x v="2"/>
    <x v="1"/>
    <n v="7.29"/>
    <n v="36.450000000000003"/>
    <x v="1"/>
    <s v="Dark"/>
    <x v="0"/>
  </r>
  <r>
    <s v="SFB-93752-440"/>
    <x v="390"/>
    <x v="664"/>
    <s v="R-M-0.2"/>
    <n v="3"/>
    <x v="664"/>
    <s v="nleakek1@cmu.edu"/>
    <x v="0"/>
    <s v="Rob"/>
    <x v="0"/>
    <x v="3"/>
    <n v="2.9849999999999999"/>
    <n v="8.9550000000000001"/>
    <x v="0"/>
    <s v="Medium"/>
    <x v="0"/>
  </r>
  <r>
    <s v="TBU-65158-068"/>
    <x v="396"/>
    <x v="665"/>
    <s v="E-D-1"/>
    <n v="2"/>
    <x v="665"/>
    <s v=""/>
    <x v="0"/>
    <s v="Exc"/>
    <x v="2"/>
    <x v="0"/>
    <n v="12.15"/>
    <n v="24.3"/>
    <x v="1"/>
    <s v="Dark"/>
    <x v="1"/>
  </r>
  <r>
    <s v="TEH-08414-216"/>
    <x v="185"/>
    <x v="666"/>
    <s v="E-M-2.5"/>
    <n v="2"/>
    <x v="666"/>
    <s v="geilhersenk3@networksolutions.com"/>
    <x v="0"/>
    <s v="Exc"/>
    <x v="0"/>
    <x v="2"/>
    <n v="31.624999999999996"/>
    <n v="63.249999999999993"/>
    <x v="1"/>
    <s v="Medium"/>
    <x v="1"/>
  </r>
  <r>
    <s v="MAY-77231-536"/>
    <x v="542"/>
    <x v="667"/>
    <s v="A-M-0.2"/>
    <n v="2"/>
    <x v="667"/>
    <s v=""/>
    <x v="0"/>
    <s v="Ara"/>
    <x v="0"/>
    <x v="3"/>
    <n v="3.375"/>
    <n v="6.75"/>
    <x v="2"/>
    <s v="Medium"/>
    <x v="0"/>
  </r>
  <r>
    <s v="ATY-28980-884"/>
    <x v="117"/>
    <x v="668"/>
    <s v="A-L-0.2"/>
    <n v="6"/>
    <x v="668"/>
    <s v="caleixok5@globo.com"/>
    <x v="0"/>
    <s v="Ara"/>
    <x v="1"/>
    <x v="3"/>
    <n v="3.8849999999999998"/>
    <n v="23.31"/>
    <x v="2"/>
    <s v="Light"/>
    <x v="1"/>
  </r>
  <r>
    <s v="SWP-88281-918"/>
    <x v="543"/>
    <x v="669"/>
    <s v="L-L-2.5"/>
    <n v="4"/>
    <x v="669"/>
    <s v=""/>
    <x v="0"/>
    <s v="Lib"/>
    <x v="1"/>
    <x v="2"/>
    <n v="36.454999999999998"/>
    <n v="145.82"/>
    <x v="3"/>
    <s v="Light"/>
    <x v="1"/>
  </r>
  <r>
    <s v="VCE-56531-986"/>
    <x v="544"/>
    <x v="670"/>
    <s v="R-M-0.5"/>
    <n v="5"/>
    <x v="670"/>
    <s v="rtomkowiczk7@bravesites.com"/>
    <x v="1"/>
    <s v="Rob"/>
    <x v="0"/>
    <x v="1"/>
    <n v="5.97"/>
    <n v="29.849999999999998"/>
    <x v="0"/>
    <s v="Medium"/>
    <x v="0"/>
  </r>
  <r>
    <s v="FVV-75700-005"/>
    <x v="545"/>
    <x v="671"/>
    <s v="E-D-0.5"/>
    <n v="3"/>
    <x v="671"/>
    <s v="rhuscroftk8@jimdo.com"/>
    <x v="0"/>
    <s v="Exc"/>
    <x v="2"/>
    <x v="1"/>
    <n v="7.29"/>
    <n v="21.87"/>
    <x v="1"/>
    <s v="Dark"/>
    <x v="0"/>
  </r>
  <r>
    <s v="CFZ-53492-600"/>
    <x v="546"/>
    <x v="672"/>
    <s v="L-M-0.2"/>
    <n v="1"/>
    <x v="672"/>
    <s v="sscurrerk9@flavors.me"/>
    <x v="2"/>
    <s v="Lib"/>
    <x v="0"/>
    <x v="3"/>
    <n v="4.3650000000000002"/>
    <n v="4.3650000000000002"/>
    <x v="3"/>
    <s v="Medium"/>
    <x v="1"/>
  </r>
  <r>
    <s v="LDK-71031-121"/>
    <x v="420"/>
    <x v="673"/>
    <s v="L-L-2.5"/>
    <n v="1"/>
    <x v="673"/>
    <s v="arudramka@prnewswire.com"/>
    <x v="0"/>
    <s v="Lib"/>
    <x v="1"/>
    <x v="2"/>
    <n v="36.454999999999998"/>
    <n v="36.454999999999998"/>
    <x v="3"/>
    <s v="Light"/>
    <x v="1"/>
  </r>
  <r>
    <s v="EBA-82404-343"/>
    <x v="547"/>
    <x v="674"/>
    <s v="L-D-0.2"/>
    <n v="4"/>
    <x v="674"/>
    <s v=""/>
    <x v="0"/>
    <s v="Lib"/>
    <x v="2"/>
    <x v="3"/>
    <n v="3.8849999999999998"/>
    <n v="15.54"/>
    <x v="3"/>
    <s v="Dark"/>
    <x v="0"/>
  </r>
  <r>
    <s v="USA-42811-560"/>
    <x v="548"/>
    <x v="675"/>
    <s v="E-L-0.2"/>
    <n v="2"/>
    <x v="675"/>
    <s v="jmahakc@cyberchimps.com"/>
    <x v="0"/>
    <s v="Exc"/>
    <x v="1"/>
    <x v="3"/>
    <n v="4.4550000000000001"/>
    <n v="8.91"/>
    <x v="1"/>
    <s v="Light"/>
    <x v="1"/>
  </r>
  <r>
    <s v="SNL-83703-516"/>
    <x v="549"/>
    <x v="676"/>
    <s v="L-M-2.5"/>
    <n v="3"/>
    <x v="676"/>
    <s v="gclemonkd@networksolutions.com"/>
    <x v="0"/>
    <s v="Lib"/>
    <x v="0"/>
    <x v="2"/>
    <n v="33.464999999999996"/>
    <n v="100.39499999999998"/>
    <x v="3"/>
    <s v="Medium"/>
    <x v="0"/>
  </r>
  <r>
    <s v="SUZ-83036-175"/>
    <x v="550"/>
    <x v="677"/>
    <s v="R-D-0.2"/>
    <n v="5"/>
    <x v="677"/>
    <s v=""/>
    <x v="0"/>
    <s v="Rob"/>
    <x v="2"/>
    <x v="3"/>
    <n v="2.6849999999999996"/>
    <n v="13.424999999999997"/>
    <x v="0"/>
    <s v="Dark"/>
    <x v="1"/>
  </r>
  <r>
    <s v="RGM-01187-513"/>
    <x v="551"/>
    <x v="678"/>
    <s v="E-D-0.2"/>
    <n v="6"/>
    <x v="678"/>
    <s v="bpollinskf@shinystat.com"/>
    <x v="0"/>
    <s v="Exc"/>
    <x v="2"/>
    <x v="3"/>
    <n v="3.645"/>
    <n v="21.87"/>
    <x v="1"/>
    <s v="Dark"/>
    <x v="1"/>
  </r>
  <r>
    <s v="CZG-01299-952"/>
    <x v="552"/>
    <x v="679"/>
    <s v="L-D-1"/>
    <n v="2"/>
    <x v="679"/>
    <s v="jtoyekg@pinterest.com"/>
    <x v="1"/>
    <s v="Lib"/>
    <x v="2"/>
    <x v="0"/>
    <n v="12.95"/>
    <n v="25.9"/>
    <x v="3"/>
    <s v="Dark"/>
    <x v="0"/>
  </r>
  <r>
    <s v="KLD-88731-484"/>
    <x v="553"/>
    <x v="680"/>
    <s v="A-M-1"/>
    <n v="5"/>
    <x v="680"/>
    <s v="clinskillkh@sphinn.com"/>
    <x v="0"/>
    <s v="Ara"/>
    <x v="0"/>
    <x v="0"/>
    <n v="11.25"/>
    <n v="56.25"/>
    <x v="2"/>
    <s v="Medium"/>
    <x v="1"/>
  </r>
  <r>
    <s v="BQK-38412-229"/>
    <x v="554"/>
    <x v="681"/>
    <s v="R-L-0.2"/>
    <n v="3"/>
    <x v="681"/>
    <s v="nvigrasski@ezinearticles.com"/>
    <x v="2"/>
    <s v="Rob"/>
    <x v="1"/>
    <x v="3"/>
    <n v="3.5849999999999995"/>
    <n v="10.754999999999999"/>
    <x v="0"/>
    <s v="Light"/>
    <x v="1"/>
  </r>
  <r>
    <s v="TCX-76953-071"/>
    <x v="555"/>
    <x v="636"/>
    <s v="E-D-0.2"/>
    <n v="5"/>
    <x v="636"/>
    <s v="jdymokeje@prnewswire.com"/>
    <x v="1"/>
    <s v="Exc"/>
    <x v="2"/>
    <x v="3"/>
    <n v="3.645"/>
    <n v="18.225000000000001"/>
    <x v="1"/>
    <s v="Dark"/>
    <x v="1"/>
  </r>
  <r>
    <s v="LIN-88046-551"/>
    <x v="150"/>
    <x v="682"/>
    <s v="R-L-0.5"/>
    <n v="4"/>
    <x v="682"/>
    <s v="kcragellkk@google.com"/>
    <x v="1"/>
    <s v="Rob"/>
    <x v="1"/>
    <x v="1"/>
    <n v="7.169999999999999"/>
    <n v="28.679999999999996"/>
    <x v="0"/>
    <s v="Light"/>
    <x v="1"/>
  </r>
  <r>
    <s v="PMV-54491-220"/>
    <x v="556"/>
    <x v="683"/>
    <s v="L-M-0.2"/>
    <n v="2"/>
    <x v="683"/>
    <s v="libertkl@huffingtonpost.com"/>
    <x v="0"/>
    <s v="Lib"/>
    <x v="0"/>
    <x v="3"/>
    <n v="4.3650000000000002"/>
    <n v="8.73"/>
    <x v="3"/>
    <s v="Medium"/>
    <x v="1"/>
  </r>
  <r>
    <s v="SKA-73676-005"/>
    <x v="327"/>
    <x v="684"/>
    <s v="L-M-1"/>
    <n v="4"/>
    <x v="684"/>
    <s v="rlidgeykm@vimeo.com"/>
    <x v="0"/>
    <s v="Lib"/>
    <x v="0"/>
    <x v="0"/>
    <n v="14.55"/>
    <n v="58.2"/>
    <x v="3"/>
    <s v="Medium"/>
    <x v="1"/>
  </r>
  <r>
    <s v="TKH-62197-239"/>
    <x v="557"/>
    <x v="685"/>
    <s v="A-D-0.5"/>
    <n v="3"/>
    <x v="685"/>
    <s v="tcastagnekn@wikia.com"/>
    <x v="0"/>
    <s v="Ara"/>
    <x v="2"/>
    <x v="1"/>
    <n v="5.97"/>
    <n v="17.91"/>
    <x v="2"/>
    <s v="Dark"/>
    <x v="1"/>
  </r>
  <r>
    <s v="YXF-57218-272"/>
    <x v="333"/>
    <x v="686"/>
    <s v="R-M-0.2"/>
    <n v="6"/>
    <x v="686"/>
    <s v=""/>
    <x v="0"/>
    <s v="Rob"/>
    <x v="0"/>
    <x v="3"/>
    <n v="2.9849999999999999"/>
    <n v="17.91"/>
    <x v="0"/>
    <s v="Medium"/>
    <x v="0"/>
  </r>
  <r>
    <s v="PKJ-30083-501"/>
    <x v="558"/>
    <x v="687"/>
    <s v="E-D-0.5"/>
    <n v="2"/>
    <x v="687"/>
    <s v="jhaldenkp@comcast.net"/>
    <x v="1"/>
    <s v="Exc"/>
    <x v="2"/>
    <x v="1"/>
    <n v="7.29"/>
    <n v="14.58"/>
    <x v="1"/>
    <s v="Dark"/>
    <x v="1"/>
  </r>
  <r>
    <s v="WTT-91832-645"/>
    <x v="559"/>
    <x v="688"/>
    <s v="A-M-1"/>
    <n v="3"/>
    <x v="688"/>
    <s v="holliffkq@sciencedirect.com"/>
    <x v="1"/>
    <s v="Ara"/>
    <x v="0"/>
    <x v="0"/>
    <n v="11.25"/>
    <n v="33.75"/>
    <x v="2"/>
    <s v="Medium"/>
    <x v="1"/>
  </r>
  <r>
    <s v="TRZ-94735-865"/>
    <x v="310"/>
    <x v="689"/>
    <s v="L-M-0.5"/>
    <n v="4"/>
    <x v="689"/>
    <s v="tquadrikr@opensource.org"/>
    <x v="1"/>
    <s v="Lib"/>
    <x v="0"/>
    <x v="1"/>
    <n v="8.73"/>
    <n v="34.92"/>
    <x v="3"/>
    <s v="Medium"/>
    <x v="0"/>
  </r>
  <r>
    <s v="UDB-09651-780"/>
    <x v="560"/>
    <x v="690"/>
    <s v="E-D-0.5"/>
    <n v="2"/>
    <x v="690"/>
    <s v="feshmadeks@umn.edu"/>
    <x v="0"/>
    <s v="Exc"/>
    <x v="2"/>
    <x v="1"/>
    <n v="7.29"/>
    <n v="14.58"/>
    <x v="1"/>
    <s v="Dark"/>
    <x v="1"/>
  </r>
  <r>
    <s v="EHJ-82097-549"/>
    <x v="561"/>
    <x v="691"/>
    <s v="R-D-0.2"/>
    <n v="2"/>
    <x v="691"/>
    <s v="moilierkt@paginegialle.it"/>
    <x v="1"/>
    <s v="Rob"/>
    <x v="2"/>
    <x v="3"/>
    <n v="2.6849999999999996"/>
    <n v="5.3699999999999992"/>
    <x v="0"/>
    <s v="Dark"/>
    <x v="0"/>
  </r>
  <r>
    <s v="ZFR-79447-696"/>
    <x v="562"/>
    <x v="692"/>
    <s v="R-M-0.5"/>
    <n v="1"/>
    <x v="692"/>
    <s v=""/>
    <x v="0"/>
    <s v="Rob"/>
    <x v="0"/>
    <x v="1"/>
    <n v="5.97"/>
    <n v="5.97"/>
    <x v="0"/>
    <s v="Medium"/>
    <x v="0"/>
  </r>
  <r>
    <s v="NUU-03893-975"/>
    <x v="563"/>
    <x v="693"/>
    <s v="L-L-0.5"/>
    <n v="2"/>
    <x v="693"/>
    <s v="vshoebothamkv@redcross.org"/>
    <x v="0"/>
    <s v="Lib"/>
    <x v="1"/>
    <x v="1"/>
    <n v="9.51"/>
    <n v="19.02"/>
    <x v="3"/>
    <s v="Light"/>
    <x v="1"/>
  </r>
  <r>
    <s v="GVG-59542-307"/>
    <x v="564"/>
    <x v="694"/>
    <s v="E-M-1"/>
    <n v="2"/>
    <x v="694"/>
    <s v="bsterkekw@biblegateway.com"/>
    <x v="0"/>
    <s v="Exc"/>
    <x v="0"/>
    <x v="0"/>
    <n v="13.75"/>
    <n v="27.5"/>
    <x v="1"/>
    <s v="Medium"/>
    <x v="0"/>
  </r>
  <r>
    <s v="YLY-35287-172"/>
    <x v="565"/>
    <x v="695"/>
    <s v="A-D-0.5"/>
    <n v="5"/>
    <x v="695"/>
    <s v="scaponkx@craigslist.org"/>
    <x v="0"/>
    <s v="Ara"/>
    <x v="2"/>
    <x v="1"/>
    <n v="5.97"/>
    <n v="29.849999999999998"/>
    <x v="2"/>
    <s v="Dark"/>
    <x v="1"/>
  </r>
  <r>
    <s v="DCI-96254-548"/>
    <x v="566"/>
    <x v="636"/>
    <s v="A-D-0.2"/>
    <n v="6"/>
    <x v="636"/>
    <s v="jdymokeje@prnewswire.com"/>
    <x v="1"/>
    <s v="Ara"/>
    <x v="2"/>
    <x v="3"/>
    <n v="2.9849999999999999"/>
    <n v="17.91"/>
    <x v="2"/>
    <s v="Dark"/>
    <x v="1"/>
  </r>
  <r>
    <s v="KHZ-26264-253"/>
    <x v="160"/>
    <x v="696"/>
    <s v="L-L-0.2"/>
    <n v="6"/>
    <x v="696"/>
    <s v="fconstancekz@ifeng.com"/>
    <x v="0"/>
    <s v="Lib"/>
    <x v="1"/>
    <x v="3"/>
    <n v="4.7549999999999999"/>
    <n v="28.53"/>
    <x v="3"/>
    <s v="Light"/>
    <x v="1"/>
  </r>
  <r>
    <s v="AAQ-13644-699"/>
    <x v="567"/>
    <x v="697"/>
    <s v="R-D-1"/>
    <n v="4"/>
    <x v="697"/>
    <s v="fsulmanl0@washington.edu"/>
    <x v="0"/>
    <s v="Rob"/>
    <x v="2"/>
    <x v="0"/>
    <n v="8.9499999999999993"/>
    <n v="35.799999999999997"/>
    <x v="0"/>
    <s v="Dark"/>
    <x v="0"/>
  </r>
  <r>
    <s v="LWL-68108-794"/>
    <x v="568"/>
    <x v="698"/>
    <s v="A-D-0.5"/>
    <n v="3"/>
    <x v="698"/>
    <s v="dhollymanl1@ibm.com"/>
    <x v="0"/>
    <s v="Ara"/>
    <x v="2"/>
    <x v="1"/>
    <n v="5.97"/>
    <n v="17.91"/>
    <x v="2"/>
    <s v="Dark"/>
    <x v="0"/>
  </r>
  <r>
    <s v="JQT-14347-517"/>
    <x v="569"/>
    <x v="699"/>
    <s v="R-D-1"/>
    <n v="1"/>
    <x v="699"/>
    <s v="lnardonil2@hao123.com"/>
    <x v="0"/>
    <s v="Rob"/>
    <x v="2"/>
    <x v="0"/>
    <n v="8.9499999999999993"/>
    <n v="8.9499999999999993"/>
    <x v="0"/>
    <s v="Dark"/>
    <x v="1"/>
  </r>
  <r>
    <s v="BMM-86471-923"/>
    <x v="570"/>
    <x v="700"/>
    <s v="L-D-2.5"/>
    <n v="1"/>
    <x v="700"/>
    <s v="dyarhaml3@moonfruit.com"/>
    <x v="0"/>
    <s v="Lib"/>
    <x v="2"/>
    <x v="2"/>
    <n v="29.784999999999997"/>
    <n v="29.784999999999997"/>
    <x v="3"/>
    <s v="Dark"/>
    <x v="0"/>
  </r>
  <r>
    <s v="IXU-67272-326"/>
    <x v="571"/>
    <x v="701"/>
    <s v="E-L-0.5"/>
    <n v="5"/>
    <x v="701"/>
    <s v="aferreal4@wikia.com"/>
    <x v="0"/>
    <s v="Exc"/>
    <x v="1"/>
    <x v="1"/>
    <n v="8.91"/>
    <n v="44.55"/>
    <x v="1"/>
    <s v="Light"/>
    <x v="1"/>
  </r>
  <r>
    <s v="ITE-28312-615"/>
    <x v="139"/>
    <x v="702"/>
    <s v="E-L-1"/>
    <n v="6"/>
    <x v="702"/>
    <s v="ckendrickl5@webnode.com"/>
    <x v="0"/>
    <s v="Exc"/>
    <x v="1"/>
    <x v="0"/>
    <n v="14.85"/>
    <n v="89.1"/>
    <x v="1"/>
    <s v="Light"/>
    <x v="0"/>
  </r>
  <r>
    <s v="ZHQ-30471-635"/>
    <x v="303"/>
    <x v="703"/>
    <s v="L-M-0.5"/>
    <n v="5"/>
    <x v="703"/>
    <s v="sdanilchikl6@mit.edu"/>
    <x v="2"/>
    <s v="Lib"/>
    <x v="0"/>
    <x v="1"/>
    <n v="8.73"/>
    <n v="43.650000000000006"/>
    <x v="3"/>
    <s v="Medium"/>
    <x v="1"/>
  </r>
  <r>
    <s v="LTP-31133-134"/>
    <x v="572"/>
    <x v="704"/>
    <s v="A-L-0.5"/>
    <n v="3"/>
    <x v="704"/>
    <s v=""/>
    <x v="0"/>
    <s v="Ara"/>
    <x v="1"/>
    <x v="1"/>
    <n v="7.77"/>
    <n v="23.31"/>
    <x v="2"/>
    <s v="Light"/>
    <x v="1"/>
  </r>
  <r>
    <s v="ZVQ-26122-859"/>
    <x v="573"/>
    <x v="705"/>
    <s v="A-L-2.5"/>
    <n v="6"/>
    <x v="705"/>
    <s v="bfolomkinl8@yolasite.com"/>
    <x v="0"/>
    <s v="Ara"/>
    <x v="1"/>
    <x v="2"/>
    <n v="29.784999999999997"/>
    <n v="178.70999999999998"/>
    <x v="2"/>
    <s v="Light"/>
    <x v="0"/>
  </r>
  <r>
    <s v="MIU-01481-194"/>
    <x v="574"/>
    <x v="706"/>
    <s v="R-M-1"/>
    <n v="6"/>
    <x v="706"/>
    <s v="rpursglovel9@biblegateway.com"/>
    <x v="0"/>
    <s v="Rob"/>
    <x v="0"/>
    <x v="0"/>
    <n v="9.9499999999999993"/>
    <n v="59.699999999999996"/>
    <x v="0"/>
    <s v="Medium"/>
    <x v="0"/>
  </r>
  <r>
    <s v="MIU-01481-194"/>
    <x v="574"/>
    <x v="706"/>
    <s v="A-L-0.5"/>
    <n v="2"/>
    <x v="706"/>
    <s v="rpursglovel9@biblegateway.com"/>
    <x v="0"/>
    <s v="Ara"/>
    <x v="1"/>
    <x v="1"/>
    <n v="7.77"/>
    <n v="15.54"/>
    <x v="2"/>
    <s v="Light"/>
    <x v="0"/>
  </r>
  <r>
    <s v="UEA-72681-629"/>
    <x v="455"/>
    <x v="696"/>
    <s v="A-L-2.5"/>
    <n v="3"/>
    <x v="696"/>
    <s v="fconstancekz@ifeng.com"/>
    <x v="0"/>
    <s v="Ara"/>
    <x v="1"/>
    <x v="2"/>
    <n v="29.784999999999997"/>
    <n v="89.35499999999999"/>
    <x v="2"/>
    <s v="Light"/>
    <x v="1"/>
  </r>
  <r>
    <s v="CVE-15042-481"/>
    <x v="575"/>
    <x v="696"/>
    <s v="R-L-1"/>
    <n v="2"/>
    <x v="696"/>
    <s v="fconstancekz@ifeng.com"/>
    <x v="0"/>
    <s v="Rob"/>
    <x v="1"/>
    <x v="0"/>
    <n v="11.95"/>
    <n v="23.9"/>
    <x v="0"/>
    <s v="Light"/>
    <x v="1"/>
  </r>
  <r>
    <s v="EJA-79176-833"/>
    <x v="576"/>
    <x v="707"/>
    <s v="R-M-2.5"/>
    <n v="6"/>
    <x v="707"/>
    <s v="deburahld@google.co.jp"/>
    <x v="2"/>
    <s v="Rob"/>
    <x v="0"/>
    <x v="2"/>
    <n v="22.884999999999998"/>
    <n v="137.31"/>
    <x v="0"/>
    <s v="Medium"/>
    <x v="1"/>
  </r>
  <r>
    <s v="AHQ-40440-522"/>
    <x v="577"/>
    <x v="708"/>
    <s v="A-D-1"/>
    <n v="1"/>
    <x v="708"/>
    <s v="mbrimilcombele@cnn.com"/>
    <x v="0"/>
    <s v="Ara"/>
    <x v="2"/>
    <x v="0"/>
    <n v="9.9499999999999993"/>
    <n v="9.9499999999999993"/>
    <x v="2"/>
    <s v="Dark"/>
    <x v="1"/>
  </r>
  <r>
    <s v="TID-21626-411"/>
    <x v="578"/>
    <x v="709"/>
    <s v="R-L-0.5"/>
    <n v="3"/>
    <x v="709"/>
    <s v="sbollamlf@list-manage.com"/>
    <x v="0"/>
    <s v="Rob"/>
    <x v="1"/>
    <x v="1"/>
    <n v="7.169999999999999"/>
    <n v="21.509999999999998"/>
    <x v="0"/>
    <s v="Light"/>
    <x v="1"/>
  </r>
  <r>
    <s v="RSR-96390-187"/>
    <x v="579"/>
    <x v="710"/>
    <s v="E-M-1"/>
    <n v="6"/>
    <x v="710"/>
    <s v=""/>
    <x v="0"/>
    <s v="Exc"/>
    <x v="0"/>
    <x v="0"/>
    <n v="13.75"/>
    <n v="82.5"/>
    <x v="1"/>
    <s v="Medium"/>
    <x v="1"/>
  </r>
  <r>
    <s v="BZE-96093-118"/>
    <x v="91"/>
    <x v="711"/>
    <s v="L-M-0.2"/>
    <n v="2"/>
    <x v="711"/>
    <s v="afilipczaklh@ning.com"/>
    <x v="1"/>
    <s v="Lib"/>
    <x v="0"/>
    <x v="3"/>
    <n v="4.3650000000000002"/>
    <n v="8.73"/>
    <x v="3"/>
    <s v="Medium"/>
    <x v="1"/>
  </r>
  <r>
    <s v="LOU-41819-242"/>
    <x v="272"/>
    <x v="712"/>
    <s v="R-M-1"/>
    <n v="2"/>
    <x v="712"/>
    <s v=""/>
    <x v="0"/>
    <s v="Rob"/>
    <x v="0"/>
    <x v="0"/>
    <n v="9.9499999999999993"/>
    <n v="19.899999999999999"/>
    <x v="0"/>
    <s v="Medium"/>
    <x v="0"/>
  </r>
  <r>
    <s v="FND-99527-640"/>
    <x v="65"/>
    <x v="713"/>
    <s v="E-L-0.5"/>
    <n v="2"/>
    <x v="713"/>
    <s v="relnaughlj@comsenz.com"/>
    <x v="0"/>
    <s v="Exc"/>
    <x v="1"/>
    <x v="1"/>
    <n v="8.91"/>
    <n v="17.82"/>
    <x v="1"/>
    <s v="Light"/>
    <x v="0"/>
  </r>
  <r>
    <s v="ASG-27179-958"/>
    <x v="580"/>
    <x v="714"/>
    <s v="A-M-0.5"/>
    <n v="3"/>
    <x v="714"/>
    <s v="jdeehanlk@about.me"/>
    <x v="0"/>
    <s v="Ara"/>
    <x v="0"/>
    <x v="1"/>
    <n v="6.75"/>
    <n v="20.25"/>
    <x v="2"/>
    <s v="Medium"/>
    <x v="1"/>
  </r>
  <r>
    <s v="YKX-23510-272"/>
    <x v="581"/>
    <x v="715"/>
    <s v="A-L-2.5"/>
    <n v="2"/>
    <x v="715"/>
    <s v="jedenll@e-recht24.de"/>
    <x v="0"/>
    <s v="Ara"/>
    <x v="1"/>
    <x v="2"/>
    <n v="29.784999999999997"/>
    <n v="59.569999999999993"/>
    <x v="2"/>
    <s v="Light"/>
    <x v="1"/>
  </r>
  <r>
    <s v="FSA-98650-921"/>
    <x v="489"/>
    <x v="716"/>
    <s v="L-L-0.5"/>
    <n v="2"/>
    <x v="716"/>
    <s v="cjewsterlu@moonfruit.com"/>
    <x v="0"/>
    <s v="Lib"/>
    <x v="1"/>
    <x v="1"/>
    <n v="9.51"/>
    <n v="19.02"/>
    <x v="3"/>
    <s v="Light"/>
    <x v="0"/>
  </r>
  <r>
    <s v="ZUR-55774-294"/>
    <x v="234"/>
    <x v="717"/>
    <s v="L-D-1"/>
    <n v="6"/>
    <x v="717"/>
    <s v="usoutherdenln@hao123.com"/>
    <x v="0"/>
    <s v="Lib"/>
    <x v="2"/>
    <x v="0"/>
    <n v="12.95"/>
    <n v="77.699999999999989"/>
    <x v="3"/>
    <s v="Dark"/>
    <x v="0"/>
  </r>
  <r>
    <s v="FUO-99821-974"/>
    <x v="175"/>
    <x v="718"/>
    <s v="E-M-1"/>
    <n v="3"/>
    <x v="718"/>
    <s v=""/>
    <x v="0"/>
    <s v="Exc"/>
    <x v="0"/>
    <x v="0"/>
    <n v="13.75"/>
    <n v="41.25"/>
    <x v="1"/>
    <s v="Medium"/>
    <x v="1"/>
  </r>
  <r>
    <s v="YVH-19865-819"/>
    <x v="582"/>
    <x v="719"/>
    <s v="L-L-2.5"/>
    <n v="4"/>
    <x v="719"/>
    <s v="lburtenshawlp@shinystat.com"/>
    <x v="0"/>
    <s v="Lib"/>
    <x v="1"/>
    <x v="2"/>
    <n v="36.454999999999998"/>
    <n v="145.82"/>
    <x v="3"/>
    <s v="Light"/>
    <x v="1"/>
  </r>
  <r>
    <s v="NNF-47422-501"/>
    <x v="583"/>
    <x v="720"/>
    <s v="E-L-0.2"/>
    <n v="6"/>
    <x v="720"/>
    <s v="agregorattilq@vistaprint.com"/>
    <x v="1"/>
    <s v="Exc"/>
    <x v="1"/>
    <x v="3"/>
    <n v="4.4550000000000001"/>
    <n v="26.73"/>
    <x v="1"/>
    <s v="Light"/>
    <x v="1"/>
  </r>
  <r>
    <s v="RJI-71409-490"/>
    <x v="548"/>
    <x v="721"/>
    <s v="L-M-0.5"/>
    <n v="5"/>
    <x v="721"/>
    <s v="ccrosterlr@gov.uk"/>
    <x v="0"/>
    <s v="Lib"/>
    <x v="0"/>
    <x v="1"/>
    <n v="8.73"/>
    <n v="43.650000000000006"/>
    <x v="3"/>
    <s v="Medium"/>
    <x v="0"/>
  </r>
  <r>
    <s v="UZL-46108-213"/>
    <x v="584"/>
    <x v="722"/>
    <s v="L-L-1"/>
    <n v="2"/>
    <x v="722"/>
    <s v="gwhiteheadls@hp.com"/>
    <x v="0"/>
    <s v="Lib"/>
    <x v="1"/>
    <x v="0"/>
    <n v="15.85"/>
    <n v="31.7"/>
    <x v="3"/>
    <s v="Light"/>
    <x v="1"/>
  </r>
  <r>
    <s v="AOX-44467-109"/>
    <x v="64"/>
    <x v="723"/>
    <s v="A-D-2.5"/>
    <n v="1"/>
    <x v="723"/>
    <s v="hjodrellelt@samsung.com"/>
    <x v="0"/>
    <s v="Ara"/>
    <x v="2"/>
    <x v="2"/>
    <n v="22.884999999999998"/>
    <n v="22.884999999999998"/>
    <x v="2"/>
    <s v="Dark"/>
    <x v="1"/>
  </r>
  <r>
    <s v="TZD-67261-174"/>
    <x v="585"/>
    <x v="716"/>
    <s v="E-D-2.5"/>
    <n v="1"/>
    <x v="716"/>
    <s v="cjewsterlu@moonfruit.com"/>
    <x v="0"/>
    <s v="Exc"/>
    <x v="2"/>
    <x v="2"/>
    <n v="27.945"/>
    <n v="27.945"/>
    <x v="1"/>
    <s v="Dark"/>
    <x v="0"/>
  </r>
  <r>
    <s v="TBU-64277-625"/>
    <x v="32"/>
    <x v="724"/>
    <s v="E-M-1"/>
    <n v="6"/>
    <x v="724"/>
    <s v=""/>
    <x v="0"/>
    <s v="Exc"/>
    <x v="0"/>
    <x v="0"/>
    <n v="13.75"/>
    <n v="82.5"/>
    <x v="1"/>
    <s v="Medium"/>
    <x v="0"/>
  </r>
  <r>
    <s v="TYP-85767-944"/>
    <x v="586"/>
    <x v="725"/>
    <s v="R-M-2.5"/>
    <n v="2"/>
    <x v="725"/>
    <s v="knottramlw@odnoklassniki.ru"/>
    <x v="1"/>
    <s v="Rob"/>
    <x v="0"/>
    <x v="2"/>
    <n v="22.884999999999998"/>
    <n v="45.769999999999996"/>
    <x v="0"/>
    <s v="Medium"/>
    <x v="0"/>
  </r>
  <r>
    <s v="GTT-73214-334"/>
    <x v="535"/>
    <x v="726"/>
    <s v="A-L-1"/>
    <n v="6"/>
    <x v="726"/>
    <s v="nbuneylx@jugem.jp"/>
    <x v="0"/>
    <s v="Ara"/>
    <x v="1"/>
    <x v="0"/>
    <n v="12.95"/>
    <n v="77.699999999999989"/>
    <x v="2"/>
    <s v="Light"/>
    <x v="1"/>
  </r>
  <r>
    <s v="WAI-89905-069"/>
    <x v="587"/>
    <x v="727"/>
    <s v="A-L-0.5"/>
    <n v="3"/>
    <x v="727"/>
    <s v="smcshealy@photobucket.com"/>
    <x v="0"/>
    <s v="Ara"/>
    <x v="1"/>
    <x v="1"/>
    <n v="7.77"/>
    <n v="23.31"/>
    <x v="2"/>
    <s v="Light"/>
    <x v="1"/>
  </r>
  <r>
    <s v="OJL-96844-459"/>
    <x v="393"/>
    <x v="728"/>
    <s v="L-L-0.2"/>
    <n v="5"/>
    <x v="728"/>
    <s v="khuddartlz@about.com"/>
    <x v="0"/>
    <s v="Lib"/>
    <x v="1"/>
    <x v="3"/>
    <n v="4.7549999999999999"/>
    <n v="23.774999999999999"/>
    <x v="3"/>
    <s v="Light"/>
    <x v="0"/>
  </r>
  <r>
    <s v="VGI-33205-360"/>
    <x v="588"/>
    <x v="729"/>
    <s v="L-M-0.5"/>
    <n v="6"/>
    <x v="729"/>
    <s v="jgippesm0@cloudflare.com"/>
    <x v="2"/>
    <s v="Lib"/>
    <x v="0"/>
    <x v="1"/>
    <n v="8.73"/>
    <n v="52.38"/>
    <x v="3"/>
    <s v="Medium"/>
    <x v="0"/>
  </r>
  <r>
    <s v="PCA-14081-576"/>
    <x v="15"/>
    <x v="730"/>
    <s v="R-L-0.2"/>
    <n v="5"/>
    <x v="730"/>
    <s v="lwhittleseem1@e-recht24.de"/>
    <x v="0"/>
    <s v="Rob"/>
    <x v="1"/>
    <x v="3"/>
    <n v="3.5849999999999995"/>
    <n v="17.924999999999997"/>
    <x v="0"/>
    <s v="Light"/>
    <x v="1"/>
  </r>
  <r>
    <s v="SCS-67069-962"/>
    <x v="507"/>
    <x v="731"/>
    <s v="A-L-2.5"/>
    <n v="5"/>
    <x v="731"/>
    <s v="gtrengrovem2@elpais.com"/>
    <x v="0"/>
    <s v="Ara"/>
    <x v="1"/>
    <x v="2"/>
    <n v="29.784999999999997"/>
    <n v="148.92499999999998"/>
    <x v="2"/>
    <s v="Light"/>
    <x v="1"/>
  </r>
  <r>
    <s v="BDM-03174-485"/>
    <x v="533"/>
    <x v="732"/>
    <s v="R-L-0.5"/>
    <n v="4"/>
    <x v="732"/>
    <s v="wcalderom3@stumbleupon.com"/>
    <x v="0"/>
    <s v="Rob"/>
    <x v="1"/>
    <x v="1"/>
    <n v="7.169999999999999"/>
    <n v="28.679999999999996"/>
    <x v="0"/>
    <s v="Light"/>
    <x v="1"/>
  </r>
  <r>
    <s v="UJV-32333-364"/>
    <x v="589"/>
    <x v="733"/>
    <s v="L-L-0.5"/>
    <n v="1"/>
    <x v="733"/>
    <s v=""/>
    <x v="0"/>
    <s v="Lib"/>
    <x v="1"/>
    <x v="1"/>
    <n v="9.51"/>
    <n v="9.51"/>
    <x v="3"/>
    <s v="Light"/>
    <x v="1"/>
  </r>
  <r>
    <s v="FLI-11493-954"/>
    <x v="590"/>
    <x v="734"/>
    <s v="A-L-0.5"/>
    <n v="4"/>
    <x v="734"/>
    <s v="jkennicottm5@yahoo.co.jp"/>
    <x v="0"/>
    <s v="Ara"/>
    <x v="1"/>
    <x v="1"/>
    <n v="7.77"/>
    <n v="31.08"/>
    <x v="2"/>
    <s v="Light"/>
    <x v="1"/>
  </r>
  <r>
    <s v="IWL-13117-537"/>
    <x v="457"/>
    <x v="735"/>
    <s v="R-D-0.2"/>
    <n v="3"/>
    <x v="735"/>
    <s v="gruggenm6@nymag.com"/>
    <x v="0"/>
    <s v="Rob"/>
    <x v="2"/>
    <x v="3"/>
    <n v="2.6849999999999996"/>
    <n v="8.0549999999999997"/>
    <x v="0"/>
    <s v="Dark"/>
    <x v="0"/>
  </r>
  <r>
    <s v="OAM-76916-748"/>
    <x v="591"/>
    <x v="736"/>
    <s v="E-D-1"/>
    <n v="3"/>
    <x v="736"/>
    <s v=""/>
    <x v="0"/>
    <s v="Exc"/>
    <x v="2"/>
    <x v="0"/>
    <n v="12.15"/>
    <n v="36.450000000000003"/>
    <x v="1"/>
    <s v="Dark"/>
    <x v="0"/>
  </r>
  <r>
    <s v="UMB-11223-710"/>
    <x v="592"/>
    <x v="737"/>
    <s v="R-D-0.2"/>
    <n v="6"/>
    <x v="737"/>
    <s v="mfrightm8@harvard.edu"/>
    <x v="1"/>
    <s v="Rob"/>
    <x v="2"/>
    <x v="3"/>
    <n v="2.6849999999999996"/>
    <n v="16.11"/>
    <x v="0"/>
    <s v="Dark"/>
    <x v="1"/>
  </r>
  <r>
    <s v="LXR-09892-726"/>
    <x v="402"/>
    <x v="738"/>
    <s v="R-D-2.5"/>
    <n v="2"/>
    <x v="738"/>
    <s v="btartem9@aol.com"/>
    <x v="0"/>
    <s v="Rob"/>
    <x v="2"/>
    <x v="2"/>
    <n v="20.584999999999997"/>
    <n v="41.169999999999995"/>
    <x v="0"/>
    <s v="Dark"/>
    <x v="0"/>
  </r>
  <r>
    <s v="QXX-89943-393"/>
    <x v="593"/>
    <x v="739"/>
    <s v="R-D-0.2"/>
    <n v="4"/>
    <x v="739"/>
    <s v="ckrzysztofiakma@skyrock.com"/>
    <x v="0"/>
    <s v="Rob"/>
    <x v="2"/>
    <x v="3"/>
    <n v="2.6849999999999996"/>
    <n v="10.739999999999998"/>
    <x v="0"/>
    <s v="Dark"/>
    <x v="1"/>
  </r>
  <r>
    <s v="WVS-57822-366"/>
    <x v="594"/>
    <x v="740"/>
    <s v="E-M-2.5"/>
    <n v="4"/>
    <x v="740"/>
    <s v="dpenquetmb@diigo.com"/>
    <x v="0"/>
    <s v="Exc"/>
    <x v="0"/>
    <x v="2"/>
    <n v="31.624999999999996"/>
    <n v="126.49999999999999"/>
    <x v="1"/>
    <s v="Medium"/>
    <x v="1"/>
  </r>
  <r>
    <s v="CLJ-23403-689"/>
    <x v="77"/>
    <x v="741"/>
    <s v="R-L-1"/>
    <n v="2"/>
    <x v="741"/>
    <s v=""/>
    <x v="2"/>
    <s v="Rob"/>
    <x v="1"/>
    <x v="0"/>
    <n v="11.95"/>
    <n v="23.9"/>
    <x v="0"/>
    <s v="Light"/>
    <x v="1"/>
  </r>
  <r>
    <s v="XNU-83276-288"/>
    <x v="595"/>
    <x v="742"/>
    <s v="R-M-0.5"/>
    <n v="1"/>
    <x v="742"/>
    <s v=""/>
    <x v="0"/>
    <s v="Rob"/>
    <x v="0"/>
    <x v="1"/>
    <n v="5.97"/>
    <n v="5.97"/>
    <x v="0"/>
    <s v="Medium"/>
    <x v="1"/>
  </r>
  <r>
    <s v="YOG-94666-679"/>
    <x v="596"/>
    <x v="743"/>
    <s v="L-D-0.2"/>
    <n v="2"/>
    <x v="743"/>
    <s v=""/>
    <x v="2"/>
    <s v="Lib"/>
    <x v="2"/>
    <x v="3"/>
    <n v="3.8849999999999998"/>
    <n v="7.77"/>
    <x v="3"/>
    <s v="Dark"/>
    <x v="0"/>
  </r>
  <r>
    <s v="KHG-33953-115"/>
    <x v="514"/>
    <x v="744"/>
    <s v="L-D-0.5"/>
    <n v="3"/>
    <x v="744"/>
    <s v="kferrettimf@huffingtonpost.com"/>
    <x v="1"/>
    <s v="Lib"/>
    <x v="2"/>
    <x v="1"/>
    <n v="7.77"/>
    <n v="23.31"/>
    <x v="3"/>
    <s v="Dark"/>
    <x v="1"/>
  </r>
  <r>
    <s v="MHD-95615-696"/>
    <x v="54"/>
    <x v="745"/>
    <s v="R-L-2.5"/>
    <n v="5"/>
    <x v="745"/>
    <s v=""/>
    <x v="0"/>
    <s v="Rob"/>
    <x v="1"/>
    <x v="2"/>
    <n v="27.484999999999996"/>
    <n v="137.42499999999998"/>
    <x v="0"/>
    <s v="Light"/>
    <x v="1"/>
  </r>
  <r>
    <s v="HBH-64794-080"/>
    <x v="597"/>
    <x v="746"/>
    <s v="R-D-0.2"/>
    <n v="3"/>
    <x v="746"/>
    <s v=""/>
    <x v="0"/>
    <s v="Rob"/>
    <x v="2"/>
    <x v="3"/>
    <n v="2.6849999999999996"/>
    <n v="8.0549999999999997"/>
    <x v="0"/>
    <s v="Dark"/>
    <x v="0"/>
  </r>
  <r>
    <s v="CNJ-56058-223"/>
    <x v="105"/>
    <x v="747"/>
    <s v="L-L-0.5"/>
    <n v="3"/>
    <x v="747"/>
    <s v="abalsdonemi@toplist.cz"/>
    <x v="0"/>
    <s v="Lib"/>
    <x v="1"/>
    <x v="1"/>
    <n v="9.51"/>
    <n v="28.53"/>
    <x v="3"/>
    <s v="Light"/>
    <x v="1"/>
  </r>
  <r>
    <s v="KHO-27106-786"/>
    <x v="210"/>
    <x v="748"/>
    <s v="A-M-1"/>
    <n v="6"/>
    <x v="748"/>
    <s v="bromeramj@list-manage.com"/>
    <x v="1"/>
    <s v="Ara"/>
    <x v="0"/>
    <x v="0"/>
    <n v="11.25"/>
    <n v="67.5"/>
    <x v="2"/>
    <s v="Medium"/>
    <x v="0"/>
  </r>
  <r>
    <s v="KHO-27106-786"/>
    <x v="210"/>
    <x v="748"/>
    <s v="L-D-2.5"/>
    <n v="6"/>
    <x v="748"/>
    <s v="bromeramj@list-manage.com"/>
    <x v="1"/>
    <s v="Lib"/>
    <x v="2"/>
    <x v="2"/>
    <n v="29.784999999999997"/>
    <n v="178.70999999999998"/>
    <x v="3"/>
    <s v="Dark"/>
    <x v="0"/>
  </r>
  <r>
    <s v="YAC-50329-982"/>
    <x v="598"/>
    <x v="749"/>
    <s v="E-M-2.5"/>
    <n v="1"/>
    <x v="749"/>
    <s v="cbrydeml@tuttocitta.it"/>
    <x v="0"/>
    <s v="Exc"/>
    <x v="0"/>
    <x v="2"/>
    <n v="31.624999999999996"/>
    <n v="31.624999999999996"/>
    <x v="1"/>
    <s v="Medium"/>
    <x v="0"/>
  </r>
  <r>
    <s v="VVL-95291-039"/>
    <x v="360"/>
    <x v="750"/>
    <s v="E-L-0.2"/>
    <n v="2"/>
    <x v="750"/>
    <s v="senefermm@blog.com"/>
    <x v="0"/>
    <s v="Exc"/>
    <x v="1"/>
    <x v="3"/>
    <n v="4.4550000000000001"/>
    <n v="8.91"/>
    <x v="1"/>
    <s v="Light"/>
    <x v="1"/>
  </r>
  <r>
    <s v="VUT-20974-364"/>
    <x v="62"/>
    <x v="751"/>
    <s v="R-M-0.5"/>
    <n v="6"/>
    <x v="751"/>
    <s v="lhaggerstonemn@independent.co.uk"/>
    <x v="0"/>
    <s v="Rob"/>
    <x v="0"/>
    <x v="1"/>
    <n v="5.97"/>
    <n v="35.82"/>
    <x v="0"/>
    <s v="Medium"/>
    <x v="1"/>
  </r>
  <r>
    <s v="SFC-34054-213"/>
    <x v="599"/>
    <x v="752"/>
    <s v="L-L-0.5"/>
    <n v="4"/>
    <x v="752"/>
    <s v="mgundrymo@omniture.com"/>
    <x v="1"/>
    <s v="Lib"/>
    <x v="1"/>
    <x v="1"/>
    <n v="9.51"/>
    <n v="38.04"/>
    <x v="3"/>
    <s v="Light"/>
    <x v="1"/>
  </r>
  <r>
    <s v="UDS-04807-593"/>
    <x v="600"/>
    <x v="753"/>
    <s v="L-D-0.5"/>
    <n v="2"/>
    <x v="753"/>
    <s v="bwellanmp@cafepress.com"/>
    <x v="0"/>
    <s v="Lib"/>
    <x v="2"/>
    <x v="1"/>
    <n v="7.77"/>
    <n v="15.54"/>
    <x v="3"/>
    <s v="Dark"/>
    <x v="1"/>
  </r>
  <r>
    <s v="FWE-98471-488"/>
    <x v="601"/>
    <x v="745"/>
    <s v="L-L-1"/>
    <n v="5"/>
    <x v="745"/>
    <s v=""/>
    <x v="0"/>
    <s v="Lib"/>
    <x v="1"/>
    <x v="0"/>
    <n v="15.85"/>
    <n v="79.25"/>
    <x v="3"/>
    <s v="Light"/>
    <x v="1"/>
  </r>
  <r>
    <s v="RAU-17060-674"/>
    <x v="602"/>
    <x v="754"/>
    <s v="L-L-0.2"/>
    <n v="1"/>
    <x v="754"/>
    <s v="catchesonmr@xinhuanet.com"/>
    <x v="0"/>
    <s v="Lib"/>
    <x v="1"/>
    <x v="3"/>
    <n v="4.7549999999999999"/>
    <n v="4.7549999999999999"/>
    <x v="3"/>
    <s v="Light"/>
    <x v="0"/>
  </r>
  <r>
    <s v="AOL-13866-711"/>
    <x v="603"/>
    <x v="755"/>
    <s v="E-M-1"/>
    <n v="4"/>
    <x v="755"/>
    <s v="estentonms@google.it"/>
    <x v="0"/>
    <s v="Exc"/>
    <x v="0"/>
    <x v="0"/>
    <n v="13.75"/>
    <n v="55"/>
    <x v="1"/>
    <s v="Medium"/>
    <x v="0"/>
  </r>
  <r>
    <s v="NOA-79645-377"/>
    <x v="604"/>
    <x v="756"/>
    <s v="R-D-0.5"/>
    <n v="5"/>
    <x v="756"/>
    <s v="etrippmt@wp.com"/>
    <x v="0"/>
    <s v="Rob"/>
    <x v="2"/>
    <x v="1"/>
    <n v="5.3699999999999992"/>
    <n v="26.849999999999994"/>
    <x v="0"/>
    <s v="Dark"/>
    <x v="1"/>
  </r>
  <r>
    <s v="KMS-49214-806"/>
    <x v="605"/>
    <x v="757"/>
    <s v="E-L-2.5"/>
    <n v="4"/>
    <x v="757"/>
    <s v="lmacmanusmu@imdb.com"/>
    <x v="0"/>
    <s v="Exc"/>
    <x v="1"/>
    <x v="2"/>
    <n v="34.154999999999994"/>
    <n v="136.61999999999998"/>
    <x v="1"/>
    <s v="Light"/>
    <x v="1"/>
  </r>
  <r>
    <s v="ABK-08091-531"/>
    <x v="606"/>
    <x v="758"/>
    <s v="L-L-1"/>
    <n v="3"/>
    <x v="758"/>
    <s v="tbenediktovichmv@ebay.com"/>
    <x v="0"/>
    <s v="Lib"/>
    <x v="1"/>
    <x v="0"/>
    <n v="15.85"/>
    <n v="47.55"/>
    <x v="3"/>
    <s v="Light"/>
    <x v="0"/>
  </r>
  <r>
    <s v="GPT-67705-953"/>
    <x v="446"/>
    <x v="759"/>
    <s v="A-M-0.2"/>
    <n v="5"/>
    <x v="759"/>
    <s v="cbournermw@chronoengine.com"/>
    <x v="0"/>
    <s v="Ara"/>
    <x v="0"/>
    <x v="3"/>
    <n v="3.375"/>
    <n v="16.875"/>
    <x v="2"/>
    <s v="Medium"/>
    <x v="0"/>
  </r>
  <r>
    <s v="JNA-21450-177"/>
    <x v="18"/>
    <x v="760"/>
    <s v="A-D-1"/>
    <n v="3"/>
    <x v="760"/>
    <s v="oskermen3@hatena.ne.jp"/>
    <x v="0"/>
    <s v="Ara"/>
    <x v="2"/>
    <x v="0"/>
    <n v="9.9499999999999993"/>
    <n v="29.849999999999998"/>
    <x v="2"/>
    <s v="Dark"/>
    <x v="0"/>
  </r>
  <r>
    <s v="MPQ-23421-608"/>
    <x v="180"/>
    <x v="761"/>
    <s v="E-M-0.5"/>
    <n v="5"/>
    <x v="761"/>
    <s v="kheddanmy@icq.com"/>
    <x v="0"/>
    <s v="Exc"/>
    <x v="0"/>
    <x v="1"/>
    <n v="8.25"/>
    <n v="41.25"/>
    <x v="1"/>
    <s v="Medium"/>
    <x v="0"/>
  </r>
  <r>
    <s v="NLI-63891-565"/>
    <x v="580"/>
    <x v="762"/>
    <s v="E-M-0.2"/>
    <n v="5"/>
    <x v="762"/>
    <s v="ichartersmz@abc.net.au"/>
    <x v="0"/>
    <s v="Exc"/>
    <x v="0"/>
    <x v="3"/>
    <n v="4.125"/>
    <n v="20.625"/>
    <x v="1"/>
    <s v="Medium"/>
    <x v="1"/>
  </r>
  <r>
    <s v="HHF-36647-854"/>
    <x v="453"/>
    <x v="763"/>
    <s v="A-D-2.5"/>
    <n v="6"/>
    <x v="763"/>
    <s v="aroubertn0@tmall.com"/>
    <x v="0"/>
    <s v="Ara"/>
    <x v="2"/>
    <x v="2"/>
    <n v="22.884999999999998"/>
    <n v="137.31"/>
    <x v="2"/>
    <s v="Dark"/>
    <x v="0"/>
  </r>
  <r>
    <s v="SBN-16537-046"/>
    <x v="259"/>
    <x v="764"/>
    <s v="A-D-0.2"/>
    <n v="1"/>
    <x v="764"/>
    <s v="hmairsn1@so-net.ne.jp"/>
    <x v="0"/>
    <s v="Ara"/>
    <x v="2"/>
    <x v="3"/>
    <n v="2.9849999999999999"/>
    <n v="2.9849999999999999"/>
    <x v="2"/>
    <s v="Dark"/>
    <x v="1"/>
  </r>
  <r>
    <s v="XZD-44484-632"/>
    <x v="607"/>
    <x v="765"/>
    <s v="E-M-1"/>
    <n v="2"/>
    <x v="765"/>
    <s v="hrainforthn2@blog.com"/>
    <x v="0"/>
    <s v="Exc"/>
    <x v="0"/>
    <x v="0"/>
    <n v="13.75"/>
    <n v="27.5"/>
    <x v="1"/>
    <s v="Medium"/>
    <x v="1"/>
  </r>
  <r>
    <s v="XZD-44484-632"/>
    <x v="607"/>
    <x v="765"/>
    <s v="A-D-0.2"/>
    <n v="2"/>
    <x v="765"/>
    <s v="hrainforthn2@blog.com"/>
    <x v="0"/>
    <s v="Ara"/>
    <x v="2"/>
    <x v="3"/>
    <n v="2.9849999999999999"/>
    <n v="5.97"/>
    <x v="2"/>
    <s v="Dark"/>
    <x v="1"/>
  </r>
  <r>
    <s v="IKQ-39946-768"/>
    <x v="385"/>
    <x v="766"/>
    <s v="R-M-1"/>
    <n v="6"/>
    <x v="766"/>
    <s v="ijespern4@theglobeandmail.com"/>
    <x v="0"/>
    <s v="Rob"/>
    <x v="0"/>
    <x v="0"/>
    <n v="9.9499999999999993"/>
    <n v="59.699999999999996"/>
    <x v="0"/>
    <s v="Medium"/>
    <x v="1"/>
  </r>
  <r>
    <s v="KMB-95211-174"/>
    <x v="608"/>
    <x v="767"/>
    <s v="R-D-2.5"/>
    <n v="4"/>
    <x v="767"/>
    <s v="ldwerryhousen5@gravatar.com"/>
    <x v="0"/>
    <s v="Rob"/>
    <x v="2"/>
    <x v="2"/>
    <n v="20.584999999999997"/>
    <n v="82.339999999999989"/>
    <x v="0"/>
    <s v="Dark"/>
    <x v="0"/>
  </r>
  <r>
    <s v="QWY-99467-368"/>
    <x v="609"/>
    <x v="768"/>
    <s v="A-D-2.5"/>
    <n v="1"/>
    <x v="768"/>
    <s v="nbroomern6@examiner.com"/>
    <x v="0"/>
    <s v="Ara"/>
    <x v="2"/>
    <x v="2"/>
    <n v="22.884999999999998"/>
    <n v="22.884999999999998"/>
    <x v="2"/>
    <s v="Dark"/>
    <x v="1"/>
  </r>
  <r>
    <s v="SRG-76791-614"/>
    <x v="147"/>
    <x v="769"/>
    <s v="E-L-0.5"/>
    <n v="1"/>
    <x v="769"/>
    <s v="kthoumassonn7@bloglovin.com"/>
    <x v="0"/>
    <s v="Exc"/>
    <x v="1"/>
    <x v="1"/>
    <n v="8.91"/>
    <n v="8.91"/>
    <x v="1"/>
    <s v="Light"/>
    <x v="0"/>
  </r>
  <r>
    <s v="VSN-94485-621"/>
    <x v="172"/>
    <x v="770"/>
    <s v="A-D-0.2"/>
    <n v="4"/>
    <x v="770"/>
    <s v="fhabberghamn8@discovery.com"/>
    <x v="0"/>
    <s v="Ara"/>
    <x v="2"/>
    <x v="3"/>
    <n v="2.9849999999999999"/>
    <n v="11.94"/>
    <x v="2"/>
    <s v="Dark"/>
    <x v="1"/>
  </r>
  <r>
    <s v="UFZ-24348-219"/>
    <x v="610"/>
    <x v="745"/>
    <s v="L-M-2.5"/>
    <n v="3"/>
    <x v="745"/>
    <s v=""/>
    <x v="0"/>
    <s v="Lib"/>
    <x v="0"/>
    <x v="2"/>
    <n v="33.464999999999996"/>
    <n v="100.39499999999998"/>
    <x v="3"/>
    <s v="Medium"/>
    <x v="1"/>
  </r>
  <r>
    <s v="UKS-93055-397"/>
    <x v="611"/>
    <x v="771"/>
    <s v="A-D-2.5"/>
    <n v="5"/>
    <x v="771"/>
    <s v="ravrashinna@tamu.edu"/>
    <x v="0"/>
    <s v="Ara"/>
    <x v="2"/>
    <x v="2"/>
    <n v="22.884999999999998"/>
    <n v="114.42499999999998"/>
    <x v="2"/>
    <s v="Dark"/>
    <x v="1"/>
  </r>
  <r>
    <s v="AVH-56062-335"/>
    <x v="612"/>
    <x v="772"/>
    <s v="E-M-0.5"/>
    <n v="5"/>
    <x v="772"/>
    <s v="mdoidgenb@etsy.com"/>
    <x v="0"/>
    <s v="Exc"/>
    <x v="0"/>
    <x v="1"/>
    <n v="8.25"/>
    <n v="41.25"/>
    <x v="1"/>
    <s v="Medium"/>
    <x v="1"/>
  </r>
  <r>
    <s v="HGE-19842-613"/>
    <x v="613"/>
    <x v="773"/>
    <s v="R-L-0.5"/>
    <n v="4"/>
    <x v="773"/>
    <s v="jedinboronc@reverbnation.com"/>
    <x v="0"/>
    <s v="Rob"/>
    <x v="1"/>
    <x v="1"/>
    <n v="7.169999999999999"/>
    <n v="28.679999999999996"/>
    <x v="0"/>
    <s v="Light"/>
    <x v="0"/>
  </r>
  <r>
    <s v="WBA-85905-175"/>
    <x v="611"/>
    <x v="774"/>
    <s v="L-M-0.2"/>
    <n v="1"/>
    <x v="774"/>
    <s v="ttewelsonnd@cdbaby.com"/>
    <x v="0"/>
    <s v="Lib"/>
    <x v="0"/>
    <x v="3"/>
    <n v="4.3650000000000002"/>
    <n v="4.3650000000000002"/>
    <x v="3"/>
    <s v="Medium"/>
    <x v="1"/>
  </r>
  <r>
    <s v="DZI-35365-596"/>
    <x v="493"/>
    <x v="760"/>
    <s v="E-M-0.2"/>
    <n v="2"/>
    <x v="760"/>
    <s v="oskermen3@hatena.ne.jp"/>
    <x v="0"/>
    <s v="Exc"/>
    <x v="0"/>
    <x v="3"/>
    <n v="4.125"/>
    <n v="8.25"/>
    <x v="1"/>
    <s v="Medium"/>
    <x v="0"/>
  </r>
  <r>
    <s v="XIR-88982-743"/>
    <x v="614"/>
    <x v="775"/>
    <s v="E-M-0.2"/>
    <n v="2"/>
    <x v="775"/>
    <s v="ddrewittnf@mapquest.com"/>
    <x v="0"/>
    <s v="Exc"/>
    <x v="0"/>
    <x v="3"/>
    <n v="4.125"/>
    <n v="8.25"/>
    <x v="1"/>
    <s v="Medium"/>
    <x v="0"/>
  </r>
  <r>
    <s v="VUC-72395-865"/>
    <x v="151"/>
    <x v="776"/>
    <s v="A-D-0.5"/>
    <n v="6"/>
    <x v="776"/>
    <s v="agladhillng@stanford.edu"/>
    <x v="0"/>
    <s v="Ara"/>
    <x v="2"/>
    <x v="1"/>
    <n v="5.97"/>
    <n v="35.82"/>
    <x v="2"/>
    <s v="Dark"/>
    <x v="0"/>
  </r>
  <r>
    <s v="BQJ-44755-910"/>
    <x v="489"/>
    <x v="777"/>
    <s v="E-D-2.5"/>
    <n v="6"/>
    <x v="777"/>
    <s v="mlorineznh@whitehouse.gov"/>
    <x v="0"/>
    <s v="Exc"/>
    <x v="2"/>
    <x v="2"/>
    <n v="27.945"/>
    <n v="167.67000000000002"/>
    <x v="1"/>
    <s v="Dark"/>
    <x v="1"/>
  </r>
  <r>
    <s v="JKC-64636-831"/>
    <x v="615"/>
    <x v="778"/>
    <s v="A-M-2.5"/>
    <n v="2"/>
    <x v="778"/>
    <s v=""/>
    <x v="0"/>
    <s v="Ara"/>
    <x v="0"/>
    <x v="2"/>
    <n v="25.874999999999996"/>
    <n v="51.749999999999993"/>
    <x v="2"/>
    <s v="Medium"/>
    <x v="0"/>
  </r>
  <r>
    <s v="ZKI-78561-066"/>
    <x v="616"/>
    <x v="779"/>
    <s v="A-D-0.2"/>
    <n v="3"/>
    <x v="779"/>
    <s v="mvannj@wikipedia.org"/>
    <x v="0"/>
    <s v="Ara"/>
    <x v="2"/>
    <x v="3"/>
    <n v="2.9849999999999999"/>
    <n v="8.9550000000000001"/>
    <x v="2"/>
    <s v="Dark"/>
    <x v="0"/>
  </r>
  <r>
    <s v="IMP-12563-728"/>
    <x v="578"/>
    <x v="780"/>
    <s v="E-L-0.5"/>
    <n v="6"/>
    <x v="780"/>
    <s v=""/>
    <x v="0"/>
    <s v="Exc"/>
    <x v="1"/>
    <x v="1"/>
    <n v="8.91"/>
    <n v="53.46"/>
    <x v="1"/>
    <s v="Light"/>
    <x v="1"/>
  </r>
  <r>
    <s v="MZL-81126-390"/>
    <x v="617"/>
    <x v="781"/>
    <s v="A-L-0.2"/>
    <n v="6"/>
    <x v="781"/>
    <s v="jethelstonnl@creativecommons.org"/>
    <x v="0"/>
    <s v="Ara"/>
    <x v="1"/>
    <x v="3"/>
    <n v="3.8849999999999998"/>
    <n v="23.31"/>
    <x v="2"/>
    <s v="Light"/>
    <x v="0"/>
  </r>
  <r>
    <s v="MZL-81126-390"/>
    <x v="617"/>
    <x v="781"/>
    <s v="A-M-0.2"/>
    <n v="2"/>
    <x v="781"/>
    <s v="jethelstonnl@creativecommons.org"/>
    <x v="0"/>
    <s v="Ara"/>
    <x v="0"/>
    <x v="3"/>
    <n v="3.375"/>
    <n v="6.75"/>
    <x v="2"/>
    <s v="Medium"/>
    <x v="0"/>
  </r>
  <r>
    <s v="TVF-57766-608"/>
    <x v="155"/>
    <x v="782"/>
    <s v="L-D-0.5"/>
    <n v="1"/>
    <x v="782"/>
    <s v="peberznn@woothemes.com"/>
    <x v="0"/>
    <s v="Lib"/>
    <x v="2"/>
    <x v="1"/>
    <n v="7.77"/>
    <n v="7.77"/>
    <x v="3"/>
    <s v="Dark"/>
    <x v="0"/>
  </r>
  <r>
    <s v="RUX-37995-892"/>
    <x v="461"/>
    <x v="783"/>
    <s v="L-D-2.5"/>
    <n v="4"/>
    <x v="783"/>
    <s v="bgaishno@altervista.org"/>
    <x v="0"/>
    <s v="Lib"/>
    <x v="2"/>
    <x v="2"/>
    <n v="29.784999999999997"/>
    <n v="119.13999999999999"/>
    <x v="3"/>
    <s v="Dark"/>
    <x v="0"/>
  </r>
  <r>
    <s v="AVK-76526-953"/>
    <x v="87"/>
    <x v="784"/>
    <s v="A-D-1"/>
    <n v="2"/>
    <x v="784"/>
    <s v="ldantonnp@miitbeian.gov.cn"/>
    <x v="0"/>
    <s v="Ara"/>
    <x v="2"/>
    <x v="0"/>
    <n v="9.9499999999999993"/>
    <n v="19.899999999999999"/>
    <x v="2"/>
    <s v="Dark"/>
    <x v="1"/>
  </r>
  <r>
    <s v="RIU-02231-623"/>
    <x v="618"/>
    <x v="785"/>
    <s v="R-L-0.5"/>
    <n v="5"/>
    <x v="785"/>
    <s v="smorrallnq@answers.com"/>
    <x v="0"/>
    <s v="Rob"/>
    <x v="1"/>
    <x v="1"/>
    <n v="7.169999999999999"/>
    <n v="35.849999999999994"/>
    <x v="0"/>
    <s v="Light"/>
    <x v="0"/>
  </r>
  <r>
    <s v="WFK-99317-827"/>
    <x v="619"/>
    <x v="786"/>
    <s v="L-D-2.5"/>
    <n v="3"/>
    <x v="786"/>
    <s v="dcrownshawnr@photobucket.com"/>
    <x v="0"/>
    <s v="Lib"/>
    <x v="2"/>
    <x v="2"/>
    <n v="29.784999999999997"/>
    <n v="89.35499999999999"/>
    <x v="3"/>
    <s v="Dark"/>
    <x v="1"/>
  </r>
  <r>
    <s v="SFD-00372-284"/>
    <x v="440"/>
    <x v="760"/>
    <s v="L-M-0.2"/>
    <n v="2"/>
    <x v="760"/>
    <s v="oskermen3@hatena.ne.jp"/>
    <x v="0"/>
    <s v="Lib"/>
    <x v="0"/>
    <x v="3"/>
    <n v="4.3650000000000002"/>
    <n v="8.73"/>
    <x v="3"/>
    <s v="Medium"/>
    <x v="0"/>
  </r>
  <r>
    <s v="SXC-62166-515"/>
    <x v="489"/>
    <x v="787"/>
    <s v="R-L-2.5"/>
    <n v="5"/>
    <x v="787"/>
    <s v="jreddochnt@sun.com"/>
    <x v="0"/>
    <s v="Rob"/>
    <x v="1"/>
    <x v="2"/>
    <n v="27.484999999999996"/>
    <n v="137.42499999999998"/>
    <x v="0"/>
    <s v="Light"/>
    <x v="1"/>
  </r>
  <r>
    <s v="YIE-87008-621"/>
    <x v="620"/>
    <x v="788"/>
    <s v="L-M-0.5"/>
    <n v="4"/>
    <x v="788"/>
    <s v="stitleynu@whitehouse.gov"/>
    <x v="0"/>
    <s v="Lib"/>
    <x v="0"/>
    <x v="1"/>
    <n v="8.73"/>
    <n v="34.92"/>
    <x v="3"/>
    <s v="Medium"/>
    <x v="1"/>
  </r>
  <r>
    <s v="HRM-94548-288"/>
    <x v="621"/>
    <x v="789"/>
    <s v="A-L-2.5"/>
    <n v="6"/>
    <x v="789"/>
    <s v="rsimaonv@simplemachines.org"/>
    <x v="0"/>
    <s v="Ara"/>
    <x v="1"/>
    <x v="2"/>
    <n v="29.784999999999997"/>
    <n v="178.70999999999998"/>
    <x v="2"/>
    <s v="Light"/>
    <x v="1"/>
  </r>
  <r>
    <s v="UJG-34731-295"/>
    <x v="374"/>
    <x v="790"/>
    <s v="A-M-2.5"/>
    <n v="1"/>
    <x v="790"/>
    <s v=""/>
    <x v="0"/>
    <s v="Ara"/>
    <x v="0"/>
    <x v="2"/>
    <n v="25.874999999999996"/>
    <n v="25.874999999999996"/>
    <x v="2"/>
    <s v="Medium"/>
    <x v="1"/>
  </r>
  <r>
    <s v="TWD-70988-853"/>
    <x v="345"/>
    <x v="791"/>
    <s v="L-D-1"/>
    <n v="6"/>
    <x v="791"/>
    <s v="nchisholmnx@example.com"/>
    <x v="0"/>
    <s v="Lib"/>
    <x v="2"/>
    <x v="0"/>
    <n v="12.95"/>
    <n v="77.699999999999989"/>
    <x v="3"/>
    <s v="Dark"/>
    <x v="0"/>
  </r>
  <r>
    <s v="CIX-22904-641"/>
    <x v="622"/>
    <x v="792"/>
    <s v="R-M-1"/>
    <n v="1"/>
    <x v="792"/>
    <s v="goatsny@live.com"/>
    <x v="0"/>
    <s v="Rob"/>
    <x v="0"/>
    <x v="0"/>
    <n v="9.9499999999999993"/>
    <n v="9.9499999999999993"/>
    <x v="0"/>
    <s v="Medium"/>
    <x v="0"/>
  </r>
  <r>
    <s v="DLV-65840-759"/>
    <x v="623"/>
    <x v="793"/>
    <s v="L-M-1"/>
    <n v="2"/>
    <x v="793"/>
    <s v="mbirkinnz@java.com"/>
    <x v="0"/>
    <s v="Lib"/>
    <x v="0"/>
    <x v="0"/>
    <n v="14.55"/>
    <n v="29.1"/>
    <x v="3"/>
    <s v="Medium"/>
    <x v="0"/>
  </r>
  <r>
    <s v="RXN-55491-201"/>
    <x v="354"/>
    <x v="794"/>
    <s v="R-L-0.2"/>
    <n v="6"/>
    <x v="794"/>
    <s v="rpysono0@constantcontact.com"/>
    <x v="1"/>
    <s v="Rob"/>
    <x v="1"/>
    <x v="3"/>
    <n v="3.5849999999999995"/>
    <n v="21.509999999999998"/>
    <x v="0"/>
    <s v="Light"/>
    <x v="1"/>
  </r>
  <r>
    <s v="UHK-63283-868"/>
    <x v="624"/>
    <x v="795"/>
    <s v="A-M-0.5"/>
    <n v="1"/>
    <x v="795"/>
    <s v="mmacconnechieo9@reuters.com"/>
    <x v="0"/>
    <s v="Ara"/>
    <x v="0"/>
    <x v="1"/>
    <n v="6.75"/>
    <n v="6.75"/>
    <x v="2"/>
    <s v="Medium"/>
    <x v="0"/>
  </r>
  <r>
    <s v="PJC-31401-893"/>
    <x v="561"/>
    <x v="796"/>
    <s v="A-D-0.5"/>
    <n v="3"/>
    <x v="796"/>
    <s v="rtreachero2@usa.gov"/>
    <x v="1"/>
    <s v="Ara"/>
    <x v="2"/>
    <x v="1"/>
    <n v="5.97"/>
    <n v="17.91"/>
    <x v="2"/>
    <s v="Dark"/>
    <x v="1"/>
  </r>
  <r>
    <s v="HHO-79903-185"/>
    <x v="42"/>
    <x v="797"/>
    <s v="A-L-2.5"/>
    <n v="1"/>
    <x v="797"/>
    <s v="bfattorinio3@quantcast.com"/>
    <x v="1"/>
    <s v="Ara"/>
    <x v="1"/>
    <x v="2"/>
    <n v="29.784999999999997"/>
    <n v="29.784999999999997"/>
    <x v="2"/>
    <s v="Light"/>
    <x v="0"/>
  </r>
  <r>
    <s v="YWM-07310-594"/>
    <x v="267"/>
    <x v="798"/>
    <s v="E-M-0.5"/>
    <n v="5"/>
    <x v="798"/>
    <s v="mpalleskeo4@nyu.edu"/>
    <x v="0"/>
    <s v="Exc"/>
    <x v="0"/>
    <x v="1"/>
    <n v="8.25"/>
    <n v="41.25"/>
    <x v="1"/>
    <s v="Medium"/>
    <x v="0"/>
  </r>
  <r>
    <s v="FHD-94983-982"/>
    <x v="625"/>
    <x v="799"/>
    <s v="R-M-0.5"/>
    <n v="3"/>
    <x v="799"/>
    <s v=""/>
    <x v="0"/>
    <s v="Rob"/>
    <x v="0"/>
    <x v="1"/>
    <n v="5.97"/>
    <n v="17.91"/>
    <x v="0"/>
    <s v="Medium"/>
    <x v="0"/>
  </r>
  <r>
    <s v="WQK-10857-119"/>
    <x v="616"/>
    <x v="800"/>
    <s v="E-D-0.5"/>
    <n v="1"/>
    <x v="800"/>
    <s v="fantcliffeo6@amazon.co.jp"/>
    <x v="1"/>
    <s v="Exc"/>
    <x v="2"/>
    <x v="1"/>
    <n v="7.29"/>
    <n v="7.29"/>
    <x v="1"/>
    <s v="Dark"/>
    <x v="0"/>
  </r>
  <r>
    <s v="DXA-50313-073"/>
    <x v="626"/>
    <x v="801"/>
    <s v="E-L-1"/>
    <n v="2"/>
    <x v="801"/>
    <s v="pmatignono7@harvard.edu"/>
    <x v="2"/>
    <s v="Exc"/>
    <x v="1"/>
    <x v="0"/>
    <n v="14.85"/>
    <n v="29.7"/>
    <x v="1"/>
    <s v="Light"/>
    <x v="0"/>
  </r>
  <r>
    <s v="ONW-00560-570"/>
    <x v="52"/>
    <x v="802"/>
    <s v="A-M-1"/>
    <n v="2"/>
    <x v="802"/>
    <s v="cweondo8@theglobeandmail.com"/>
    <x v="0"/>
    <s v="Ara"/>
    <x v="0"/>
    <x v="0"/>
    <n v="11.25"/>
    <n v="22.5"/>
    <x v="2"/>
    <s v="Medium"/>
    <x v="1"/>
  </r>
  <r>
    <s v="BRJ-19414-277"/>
    <x v="622"/>
    <x v="795"/>
    <s v="R-M-0.2"/>
    <n v="4"/>
    <x v="795"/>
    <s v="mmacconnechieo9@reuters.com"/>
    <x v="0"/>
    <s v="Rob"/>
    <x v="0"/>
    <x v="3"/>
    <n v="2.9849999999999999"/>
    <n v="11.94"/>
    <x v="0"/>
    <s v="Medium"/>
    <x v="0"/>
  </r>
  <r>
    <s v="MIQ-16322-908"/>
    <x v="627"/>
    <x v="803"/>
    <s v="A-L-1"/>
    <n v="2"/>
    <x v="803"/>
    <s v="jskentelberyoa@paypal.com"/>
    <x v="0"/>
    <s v="Ara"/>
    <x v="1"/>
    <x v="0"/>
    <n v="12.95"/>
    <n v="25.9"/>
    <x v="2"/>
    <s v="Light"/>
    <x v="1"/>
  </r>
  <r>
    <s v="MVO-39328-830"/>
    <x v="628"/>
    <x v="804"/>
    <s v="L-M-0.5"/>
    <n v="5"/>
    <x v="804"/>
    <s v="ocomberob@goo.gl"/>
    <x v="1"/>
    <s v="Lib"/>
    <x v="0"/>
    <x v="1"/>
    <n v="8.73"/>
    <n v="43.650000000000006"/>
    <x v="3"/>
    <s v="Medium"/>
    <x v="1"/>
  </r>
  <r>
    <s v="MVO-39328-830"/>
    <x v="628"/>
    <x v="804"/>
    <s v="A-L-0.5"/>
    <n v="6"/>
    <x v="804"/>
    <s v="ocomberob@goo.gl"/>
    <x v="1"/>
    <s v="Ara"/>
    <x v="1"/>
    <x v="1"/>
    <n v="7.77"/>
    <n v="46.62"/>
    <x v="2"/>
    <s v="Light"/>
    <x v="1"/>
  </r>
  <r>
    <s v="NTJ-88319-746"/>
    <x v="629"/>
    <x v="805"/>
    <s v="L-L-0.5"/>
    <n v="3"/>
    <x v="805"/>
    <s v="ztramelod@netlog.com"/>
    <x v="0"/>
    <s v="Lib"/>
    <x v="1"/>
    <x v="1"/>
    <n v="9.51"/>
    <n v="28.53"/>
    <x v="3"/>
    <s v="Light"/>
    <x v="1"/>
  </r>
  <r>
    <s v="LCY-24377-948"/>
    <x v="630"/>
    <x v="806"/>
    <s v="R-L-2.5"/>
    <n v="1"/>
    <x v="806"/>
    <s v=""/>
    <x v="0"/>
    <s v="Rob"/>
    <x v="1"/>
    <x v="2"/>
    <n v="27.484999999999996"/>
    <n v="27.484999999999996"/>
    <x v="0"/>
    <s v="Light"/>
    <x v="0"/>
  </r>
  <r>
    <s v="FWD-85967-769"/>
    <x v="631"/>
    <x v="807"/>
    <s v="E-D-0.2"/>
    <n v="3"/>
    <x v="807"/>
    <s v=""/>
    <x v="0"/>
    <s v="Exc"/>
    <x v="2"/>
    <x v="3"/>
    <n v="3.645"/>
    <n v="10.935"/>
    <x v="1"/>
    <s v="Dark"/>
    <x v="1"/>
  </r>
  <r>
    <s v="KTO-53793-109"/>
    <x v="229"/>
    <x v="808"/>
    <s v="R-L-0.2"/>
    <n v="2"/>
    <x v="808"/>
    <s v="chatfullog@ebay.com"/>
    <x v="0"/>
    <s v="Rob"/>
    <x v="1"/>
    <x v="3"/>
    <n v="3.5849999999999995"/>
    <n v="7.169999999999999"/>
    <x v="0"/>
    <s v="Light"/>
    <x v="1"/>
  </r>
  <r>
    <s v="OCK-89033-348"/>
    <x v="632"/>
    <x v="809"/>
    <s v="A-L-0.2"/>
    <n v="6"/>
    <x v="809"/>
    <s v=""/>
    <x v="0"/>
    <s v="Ara"/>
    <x v="1"/>
    <x v="3"/>
    <n v="3.8849999999999998"/>
    <n v="23.31"/>
    <x v="2"/>
    <s v="Light"/>
    <x v="0"/>
  </r>
  <r>
    <s v="GPZ-36017-366"/>
    <x v="633"/>
    <x v="810"/>
    <s v="A-D-2.5"/>
    <n v="5"/>
    <x v="810"/>
    <s v="kmarrisonoq@dropbox.com"/>
    <x v="0"/>
    <s v="Ara"/>
    <x v="2"/>
    <x v="2"/>
    <n v="22.884999999999998"/>
    <n v="114.42499999999998"/>
    <x v="2"/>
    <s v="Dark"/>
    <x v="0"/>
  </r>
  <r>
    <s v="BZP-33213-637"/>
    <x v="95"/>
    <x v="811"/>
    <s v="A-M-2.5"/>
    <n v="3"/>
    <x v="811"/>
    <s v="lagnolooj@pinterest.com"/>
    <x v="0"/>
    <s v="Ara"/>
    <x v="0"/>
    <x v="2"/>
    <n v="25.874999999999996"/>
    <n v="77.624999999999986"/>
    <x v="2"/>
    <s v="Medium"/>
    <x v="0"/>
  </r>
  <r>
    <s v="WFH-21507-708"/>
    <x v="521"/>
    <x v="812"/>
    <s v="R-D-0.5"/>
    <n v="1"/>
    <x v="812"/>
    <s v="dkiddyok@fda.gov"/>
    <x v="0"/>
    <s v="Rob"/>
    <x v="2"/>
    <x v="1"/>
    <n v="5.3699999999999992"/>
    <n v="5.3699999999999992"/>
    <x v="0"/>
    <s v="Dark"/>
    <x v="0"/>
  </r>
  <r>
    <s v="HST-96923-073"/>
    <x v="76"/>
    <x v="813"/>
    <s v="R-D-2.5"/>
    <n v="6"/>
    <x v="813"/>
    <s v="hpetroulisol@state.tx.us"/>
    <x v="1"/>
    <s v="Rob"/>
    <x v="2"/>
    <x v="2"/>
    <n v="20.584999999999997"/>
    <n v="123.50999999999999"/>
    <x v="0"/>
    <s v="Dark"/>
    <x v="1"/>
  </r>
  <r>
    <s v="ENN-79947-323"/>
    <x v="634"/>
    <x v="814"/>
    <s v="L-M-0.5"/>
    <n v="2"/>
    <x v="814"/>
    <s v="mschollom@taobao.com"/>
    <x v="0"/>
    <s v="Lib"/>
    <x v="0"/>
    <x v="1"/>
    <n v="8.73"/>
    <n v="17.46"/>
    <x v="3"/>
    <s v="Medium"/>
    <x v="1"/>
  </r>
  <r>
    <s v="BHA-47429-889"/>
    <x v="635"/>
    <x v="815"/>
    <s v="E-L-0.2"/>
    <n v="3"/>
    <x v="815"/>
    <s v="kfersonon@g.co"/>
    <x v="0"/>
    <s v="Exc"/>
    <x v="1"/>
    <x v="3"/>
    <n v="4.4550000000000001"/>
    <n v="13.365"/>
    <x v="1"/>
    <s v="Light"/>
    <x v="1"/>
  </r>
  <r>
    <s v="SZY-63017-318"/>
    <x v="636"/>
    <x v="816"/>
    <s v="A-L-0.2"/>
    <n v="2"/>
    <x v="816"/>
    <s v="bkellowayoo@omniture.com"/>
    <x v="0"/>
    <s v="Ara"/>
    <x v="1"/>
    <x v="3"/>
    <n v="3.8849999999999998"/>
    <n v="7.77"/>
    <x v="2"/>
    <s v="Light"/>
    <x v="0"/>
  </r>
  <r>
    <s v="LCU-93317-340"/>
    <x v="637"/>
    <x v="817"/>
    <s v="R-D-0.2"/>
    <n v="1"/>
    <x v="817"/>
    <s v="soliffeop@yellowbook.com"/>
    <x v="0"/>
    <s v="Rob"/>
    <x v="2"/>
    <x v="3"/>
    <n v="2.6849999999999996"/>
    <n v="2.6849999999999996"/>
    <x v="0"/>
    <s v="Dark"/>
    <x v="0"/>
  </r>
  <r>
    <s v="UOM-71431-481"/>
    <x v="182"/>
    <x v="810"/>
    <s v="R-D-2.5"/>
    <n v="1"/>
    <x v="810"/>
    <s v="kmarrisonoq@dropbox.com"/>
    <x v="0"/>
    <s v="Rob"/>
    <x v="2"/>
    <x v="2"/>
    <n v="20.584999999999997"/>
    <n v="20.584999999999997"/>
    <x v="0"/>
    <s v="Dark"/>
    <x v="0"/>
  </r>
  <r>
    <s v="PJH-42618-877"/>
    <x v="479"/>
    <x v="818"/>
    <s v="A-D-2.5"/>
    <n v="5"/>
    <x v="818"/>
    <s v="cdolohuntyor@dailymail.co.uk"/>
    <x v="0"/>
    <s v="Ara"/>
    <x v="2"/>
    <x v="2"/>
    <n v="22.884999999999998"/>
    <n v="114.42499999999998"/>
    <x v="2"/>
    <s v="Dark"/>
    <x v="0"/>
  </r>
  <r>
    <s v="XED-90333-402"/>
    <x v="638"/>
    <x v="819"/>
    <s v="E-M-0.2"/>
    <n v="5"/>
    <x v="819"/>
    <s v="pvasilenkoos@addtoany.com"/>
    <x v="2"/>
    <s v="Exc"/>
    <x v="0"/>
    <x v="3"/>
    <n v="4.125"/>
    <n v="20.625"/>
    <x v="1"/>
    <s v="Medium"/>
    <x v="1"/>
  </r>
  <r>
    <s v="IKK-62234-199"/>
    <x v="639"/>
    <x v="820"/>
    <s v="L-L-0.5"/>
    <n v="6"/>
    <x v="820"/>
    <s v="rschankelborgot@ameblo.jp"/>
    <x v="0"/>
    <s v="Lib"/>
    <x v="1"/>
    <x v="1"/>
    <n v="9.51"/>
    <n v="57.06"/>
    <x v="3"/>
    <s v="Light"/>
    <x v="0"/>
  </r>
  <r>
    <s v="KAW-95195-329"/>
    <x v="640"/>
    <x v="821"/>
    <s v="R-D-2.5"/>
    <n v="4"/>
    <x v="821"/>
    <s v=""/>
    <x v="1"/>
    <s v="Rob"/>
    <x v="2"/>
    <x v="2"/>
    <n v="20.584999999999997"/>
    <n v="82.339999999999989"/>
    <x v="0"/>
    <s v="Dark"/>
    <x v="0"/>
  </r>
  <r>
    <s v="QDO-57268-842"/>
    <x v="612"/>
    <x v="822"/>
    <s v="E-M-2.5"/>
    <n v="5"/>
    <x v="822"/>
    <s v=""/>
    <x v="0"/>
    <s v="Exc"/>
    <x v="0"/>
    <x v="2"/>
    <n v="31.624999999999996"/>
    <n v="158.12499999999997"/>
    <x v="1"/>
    <s v="Medium"/>
    <x v="1"/>
  </r>
  <r>
    <s v="IIZ-24416-212"/>
    <x v="641"/>
    <x v="823"/>
    <s v="R-D-0.5"/>
    <n v="6"/>
    <x v="823"/>
    <s v="bcargenow@geocities.jp"/>
    <x v="0"/>
    <s v="Rob"/>
    <x v="2"/>
    <x v="1"/>
    <n v="5.3699999999999992"/>
    <n v="32.22"/>
    <x v="0"/>
    <s v="Dark"/>
    <x v="0"/>
  </r>
  <r>
    <s v="AWP-11469-510"/>
    <x v="36"/>
    <x v="824"/>
    <s v="E-D-1"/>
    <n v="2"/>
    <x v="824"/>
    <s v="rsticklerox@printfriendly.com"/>
    <x v="2"/>
    <s v="Exc"/>
    <x v="2"/>
    <x v="0"/>
    <n v="12.15"/>
    <n v="24.3"/>
    <x v="1"/>
    <s v="Dark"/>
    <x v="1"/>
  </r>
  <r>
    <s v="KXA-27983-918"/>
    <x v="642"/>
    <x v="825"/>
    <s v="R-L-0.5"/>
    <n v="5"/>
    <x v="825"/>
    <s v=""/>
    <x v="0"/>
    <s v="Rob"/>
    <x v="1"/>
    <x v="1"/>
    <n v="7.169999999999999"/>
    <n v="35.849999999999994"/>
    <x v="0"/>
    <s v="Light"/>
    <x v="1"/>
  </r>
  <r>
    <s v="VKQ-39009-292"/>
    <x v="219"/>
    <x v="822"/>
    <s v="L-M-1"/>
    <n v="5"/>
    <x v="822"/>
    <s v=""/>
    <x v="0"/>
    <s v="Lib"/>
    <x v="0"/>
    <x v="0"/>
    <n v="14.55"/>
    <n v="72.75"/>
    <x v="3"/>
    <s v="Medium"/>
    <x v="1"/>
  </r>
  <r>
    <s v="PDB-98743-282"/>
    <x v="643"/>
    <x v="826"/>
    <s v="L-L-1"/>
    <n v="3"/>
    <x v="826"/>
    <s v=""/>
    <x v="1"/>
    <s v="Lib"/>
    <x v="1"/>
    <x v="0"/>
    <n v="15.85"/>
    <n v="47.55"/>
    <x v="3"/>
    <s v="Light"/>
    <x v="1"/>
  </r>
  <r>
    <s v="SXW-34014-556"/>
    <x v="644"/>
    <x v="827"/>
    <s v="R-L-0.2"/>
    <n v="1"/>
    <x v="827"/>
    <s v="djevonp1@ibm.com"/>
    <x v="0"/>
    <s v="Rob"/>
    <x v="1"/>
    <x v="3"/>
    <n v="3.5849999999999995"/>
    <n v="3.5849999999999995"/>
    <x v="0"/>
    <s v="Light"/>
    <x v="0"/>
  </r>
  <r>
    <s v="QOJ-38788-727"/>
    <x v="136"/>
    <x v="828"/>
    <s v="E-M-2.5"/>
    <n v="5"/>
    <x v="828"/>
    <s v="hrannerp2@omniture.com"/>
    <x v="0"/>
    <s v="Exc"/>
    <x v="0"/>
    <x v="2"/>
    <n v="31.624999999999996"/>
    <n v="158.12499999999997"/>
    <x v="1"/>
    <s v="Medium"/>
    <x v="1"/>
  </r>
  <r>
    <s v="TGF-38649-658"/>
    <x v="645"/>
    <x v="829"/>
    <s v="L-M-0.5"/>
    <n v="2"/>
    <x v="829"/>
    <s v="bimriep3@addtoany.com"/>
    <x v="0"/>
    <s v="Lib"/>
    <x v="0"/>
    <x v="1"/>
    <n v="8.73"/>
    <n v="17.46"/>
    <x v="3"/>
    <s v="Medium"/>
    <x v="1"/>
  </r>
  <r>
    <s v="EAI-25194-209"/>
    <x v="646"/>
    <x v="830"/>
    <s v="A-L-2.5"/>
    <n v="5"/>
    <x v="830"/>
    <s v="dsopperp4@eventbrite.com"/>
    <x v="0"/>
    <s v="Ara"/>
    <x v="1"/>
    <x v="2"/>
    <n v="29.784999999999997"/>
    <n v="148.92499999999998"/>
    <x v="2"/>
    <s v="Light"/>
    <x v="1"/>
  </r>
  <r>
    <s v="IJK-34441-720"/>
    <x v="647"/>
    <x v="831"/>
    <s v="A-M-0.5"/>
    <n v="6"/>
    <x v="831"/>
    <s v=""/>
    <x v="0"/>
    <s v="Ara"/>
    <x v="0"/>
    <x v="1"/>
    <n v="6.75"/>
    <n v="40.5"/>
    <x v="2"/>
    <s v="Medium"/>
    <x v="0"/>
  </r>
  <r>
    <s v="ZMC-00336-619"/>
    <x v="591"/>
    <x v="832"/>
    <s v="A-M-0.5"/>
    <n v="4"/>
    <x v="832"/>
    <s v="lledgleyp6@de.vu"/>
    <x v="0"/>
    <s v="Ara"/>
    <x v="0"/>
    <x v="1"/>
    <n v="6.75"/>
    <n v="27"/>
    <x v="2"/>
    <s v="Medium"/>
    <x v="0"/>
  </r>
  <r>
    <s v="UPX-54529-618"/>
    <x v="648"/>
    <x v="833"/>
    <s v="L-D-1"/>
    <n v="3"/>
    <x v="833"/>
    <s v="tmenaryp7@phoca.cz"/>
    <x v="0"/>
    <s v="Lib"/>
    <x v="2"/>
    <x v="0"/>
    <n v="12.95"/>
    <n v="38.849999999999994"/>
    <x v="3"/>
    <s v="Dark"/>
    <x v="1"/>
  </r>
  <r>
    <s v="DLX-01059-899"/>
    <x v="191"/>
    <x v="834"/>
    <s v="R-L-1"/>
    <n v="5"/>
    <x v="834"/>
    <s v="gciccottip8@so-net.ne.jp"/>
    <x v="0"/>
    <s v="Rob"/>
    <x v="1"/>
    <x v="0"/>
    <n v="11.95"/>
    <n v="59.75"/>
    <x v="0"/>
    <s v="Light"/>
    <x v="1"/>
  </r>
  <r>
    <s v="MEK-85120-243"/>
    <x v="649"/>
    <x v="835"/>
    <s v="R-L-0.2"/>
    <n v="3"/>
    <x v="835"/>
    <s v=""/>
    <x v="0"/>
    <s v="Rob"/>
    <x v="1"/>
    <x v="3"/>
    <n v="3.5849999999999995"/>
    <n v="10.754999999999999"/>
    <x v="0"/>
    <s v="Light"/>
    <x v="1"/>
  </r>
  <r>
    <s v="NFI-37188-246"/>
    <x v="553"/>
    <x v="836"/>
    <s v="A-D-2.5"/>
    <n v="4"/>
    <x v="836"/>
    <s v="wjallinpa@pcworld.com"/>
    <x v="0"/>
    <s v="Ara"/>
    <x v="2"/>
    <x v="2"/>
    <n v="22.884999999999998"/>
    <n v="91.539999999999992"/>
    <x v="2"/>
    <s v="Dark"/>
    <x v="1"/>
  </r>
  <r>
    <s v="BXH-62195-013"/>
    <x v="584"/>
    <x v="837"/>
    <s v="A-M-1"/>
    <n v="4"/>
    <x v="837"/>
    <s v="mbogeypb@thetimes.co.uk"/>
    <x v="0"/>
    <s v="Ara"/>
    <x v="0"/>
    <x v="0"/>
    <n v="11.25"/>
    <n v="45"/>
    <x v="2"/>
    <s v="Medium"/>
    <x v="0"/>
  </r>
  <r>
    <s v="YLK-78851-470"/>
    <x v="650"/>
    <x v="838"/>
    <s v="R-M-2.5"/>
    <n v="6"/>
    <x v="838"/>
    <s v=""/>
    <x v="0"/>
    <s v="Rob"/>
    <x v="0"/>
    <x v="2"/>
    <n v="22.884999999999998"/>
    <n v="137.31"/>
    <x v="0"/>
    <s v="Medium"/>
    <x v="0"/>
  </r>
  <r>
    <s v="DXY-76225-633"/>
    <x v="121"/>
    <x v="839"/>
    <s v="A-M-0.5"/>
    <n v="1"/>
    <x v="839"/>
    <s v="mcobbledickpd@ucsd.edu"/>
    <x v="0"/>
    <s v="Ara"/>
    <x v="0"/>
    <x v="1"/>
    <n v="6.75"/>
    <n v="6.75"/>
    <x v="2"/>
    <s v="Medium"/>
    <x v="1"/>
  </r>
  <r>
    <s v="UHP-24614-199"/>
    <x v="472"/>
    <x v="840"/>
    <s v="A-M-1"/>
    <n v="4"/>
    <x v="840"/>
    <s v="alewrype@whitehouse.gov"/>
    <x v="0"/>
    <s v="Ara"/>
    <x v="0"/>
    <x v="0"/>
    <n v="11.25"/>
    <n v="45"/>
    <x v="2"/>
    <s v="Medium"/>
    <x v="1"/>
  </r>
  <r>
    <s v="HBY-35655-049"/>
    <x v="594"/>
    <x v="841"/>
    <s v="E-D-2.5"/>
    <n v="3"/>
    <x v="841"/>
    <s v="ihesselpf@ox.ac.uk"/>
    <x v="0"/>
    <s v="Exc"/>
    <x v="2"/>
    <x v="2"/>
    <n v="27.945"/>
    <n v="83.835000000000008"/>
    <x v="1"/>
    <s v="Dark"/>
    <x v="0"/>
  </r>
  <r>
    <s v="DCE-22886-861"/>
    <x v="89"/>
    <x v="842"/>
    <s v="E-D-0.2"/>
    <n v="1"/>
    <x v="842"/>
    <s v=""/>
    <x v="1"/>
    <s v="Exc"/>
    <x v="2"/>
    <x v="3"/>
    <n v="3.645"/>
    <n v="3.645"/>
    <x v="1"/>
    <s v="Dark"/>
    <x v="0"/>
  </r>
  <r>
    <s v="QTG-93823-843"/>
    <x v="651"/>
    <x v="843"/>
    <s v="A-M-0.5"/>
    <n v="1"/>
    <x v="843"/>
    <s v="csorrellph@amazon.com"/>
    <x v="2"/>
    <s v="Ara"/>
    <x v="0"/>
    <x v="1"/>
    <n v="6.75"/>
    <n v="6.75"/>
    <x v="2"/>
    <s v="Medium"/>
    <x v="1"/>
  </r>
  <r>
    <s v="QTG-93823-843"/>
    <x v="651"/>
    <x v="843"/>
    <s v="E-D-0.5"/>
    <n v="3"/>
    <x v="843"/>
    <s v="csorrellph@amazon.com"/>
    <x v="2"/>
    <s v="Exc"/>
    <x v="2"/>
    <x v="1"/>
    <n v="7.29"/>
    <n v="21.87"/>
    <x v="1"/>
    <s v="Dark"/>
    <x v="1"/>
  </r>
  <r>
    <s v="WFT-16178-396"/>
    <x v="249"/>
    <x v="844"/>
    <s v="R-D-0.2"/>
    <n v="5"/>
    <x v="844"/>
    <s v="qheavysidepj@unc.edu"/>
    <x v="0"/>
    <s v="Rob"/>
    <x v="2"/>
    <x v="3"/>
    <n v="2.6849999999999996"/>
    <n v="13.424999999999997"/>
    <x v="0"/>
    <s v="Dark"/>
    <x v="0"/>
  </r>
  <r>
    <s v="ERC-54560-934"/>
    <x v="652"/>
    <x v="845"/>
    <s v="R-D-2.5"/>
    <n v="6"/>
    <x v="845"/>
    <s v="hreuvenpk@whitehouse.gov"/>
    <x v="0"/>
    <s v="Rob"/>
    <x v="2"/>
    <x v="2"/>
    <n v="20.584999999999997"/>
    <n v="123.50999999999999"/>
    <x v="0"/>
    <s v="Dark"/>
    <x v="1"/>
  </r>
  <r>
    <s v="RUK-78200-416"/>
    <x v="653"/>
    <x v="846"/>
    <s v="L-D-0.2"/>
    <n v="2"/>
    <x v="846"/>
    <s v="mattwoolpl@nba.com"/>
    <x v="0"/>
    <s v="Lib"/>
    <x v="2"/>
    <x v="3"/>
    <n v="3.8849999999999998"/>
    <n v="7.77"/>
    <x v="3"/>
    <s v="Dark"/>
    <x v="1"/>
  </r>
  <r>
    <s v="KHK-13105-388"/>
    <x v="177"/>
    <x v="847"/>
    <s v="A-M-1"/>
    <n v="6"/>
    <x v="847"/>
    <s v=""/>
    <x v="0"/>
    <s v="Ara"/>
    <x v="0"/>
    <x v="0"/>
    <n v="11.25"/>
    <n v="67.5"/>
    <x v="2"/>
    <s v="Medium"/>
    <x v="0"/>
  </r>
  <r>
    <s v="NJR-03699-189"/>
    <x v="22"/>
    <x v="848"/>
    <s v="E-D-2.5"/>
    <n v="1"/>
    <x v="848"/>
    <s v="gwynespn@dagondesign.com"/>
    <x v="0"/>
    <s v="Exc"/>
    <x v="2"/>
    <x v="2"/>
    <n v="27.945"/>
    <n v="27.945"/>
    <x v="1"/>
    <s v="Dark"/>
    <x v="1"/>
  </r>
  <r>
    <s v="PJV-20427-019"/>
    <x v="508"/>
    <x v="849"/>
    <s v="A-L-2.5"/>
    <n v="3"/>
    <x v="849"/>
    <s v="cmaccourtpo@amazon.com"/>
    <x v="0"/>
    <s v="Ara"/>
    <x v="1"/>
    <x v="2"/>
    <n v="29.784999999999997"/>
    <n v="89.35499999999999"/>
    <x v="2"/>
    <s v="Light"/>
    <x v="1"/>
  </r>
  <r>
    <s v="UGK-07613-982"/>
    <x v="654"/>
    <x v="822"/>
    <s v="A-M-0.5"/>
    <n v="3"/>
    <x v="822"/>
    <s v=""/>
    <x v="0"/>
    <s v="Ara"/>
    <x v="0"/>
    <x v="1"/>
    <n v="6.75"/>
    <n v="20.25"/>
    <x v="2"/>
    <s v="Medium"/>
    <x v="1"/>
  </r>
  <r>
    <s v="OLA-68289-577"/>
    <x v="524"/>
    <x v="850"/>
    <s v="A-M-0.5"/>
    <n v="5"/>
    <x v="850"/>
    <s v="ewilsonepq@eepurl.com"/>
    <x v="0"/>
    <s v="Ara"/>
    <x v="0"/>
    <x v="1"/>
    <n v="6.75"/>
    <n v="33.75"/>
    <x v="2"/>
    <s v="Medium"/>
    <x v="0"/>
  </r>
  <r>
    <s v="TNR-84447-052"/>
    <x v="655"/>
    <x v="851"/>
    <s v="E-D-2.5"/>
    <n v="4"/>
    <x v="851"/>
    <s v="dduffiepr@time.com"/>
    <x v="0"/>
    <s v="Exc"/>
    <x v="2"/>
    <x v="2"/>
    <n v="27.945"/>
    <n v="111.78"/>
    <x v="1"/>
    <s v="Dark"/>
    <x v="1"/>
  </r>
  <r>
    <s v="FBZ-64200-586"/>
    <x v="523"/>
    <x v="852"/>
    <s v="E-M-2.5"/>
    <n v="2"/>
    <x v="852"/>
    <s v="mmatiasekps@ucoz.ru"/>
    <x v="0"/>
    <s v="Exc"/>
    <x v="0"/>
    <x v="2"/>
    <n v="31.624999999999996"/>
    <n v="63.249999999999993"/>
    <x v="1"/>
    <s v="Medium"/>
    <x v="0"/>
  </r>
  <r>
    <s v="OBN-66334-505"/>
    <x v="656"/>
    <x v="853"/>
    <s v="E-L-0.2"/>
    <n v="2"/>
    <x v="853"/>
    <s v="jcamillopt@shinystat.com"/>
    <x v="0"/>
    <s v="Exc"/>
    <x v="1"/>
    <x v="3"/>
    <n v="4.4550000000000001"/>
    <n v="8.91"/>
    <x v="1"/>
    <s v="Light"/>
    <x v="0"/>
  </r>
  <r>
    <s v="NXM-89323-646"/>
    <x v="657"/>
    <x v="854"/>
    <s v="E-D-1"/>
    <n v="1"/>
    <x v="854"/>
    <s v="kphilbrickpu@cdc.gov"/>
    <x v="0"/>
    <s v="Exc"/>
    <x v="2"/>
    <x v="0"/>
    <n v="12.15"/>
    <n v="12.15"/>
    <x v="1"/>
    <s v="Dark"/>
    <x v="0"/>
  </r>
  <r>
    <s v="NHI-23264-055"/>
    <x v="658"/>
    <x v="855"/>
    <s v="A-D-0.5"/>
    <n v="4"/>
    <x v="855"/>
    <s v=""/>
    <x v="0"/>
    <s v="Ara"/>
    <x v="2"/>
    <x v="1"/>
    <n v="5.97"/>
    <n v="23.88"/>
    <x v="2"/>
    <s v="Dark"/>
    <x v="0"/>
  </r>
  <r>
    <s v="EQH-53569-934"/>
    <x v="659"/>
    <x v="856"/>
    <s v="E-M-1"/>
    <n v="4"/>
    <x v="856"/>
    <s v="bsillispw@istockphoto.com"/>
    <x v="0"/>
    <s v="Exc"/>
    <x v="0"/>
    <x v="0"/>
    <n v="13.75"/>
    <n v="55"/>
    <x v="1"/>
    <s v="Medium"/>
    <x v="1"/>
  </r>
  <r>
    <s v="XKK-06692-189"/>
    <x v="558"/>
    <x v="857"/>
    <s v="R-D-1"/>
    <n v="3"/>
    <x v="857"/>
    <s v=""/>
    <x v="0"/>
    <s v="Rob"/>
    <x v="2"/>
    <x v="0"/>
    <n v="8.9499999999999993"/>
    <n v="26.849999999999998"/>
    <x v="0"/>
    <s v="Dark"/>
    <x v="0"/>
  </r>
  <r>
    <s v="BYP-16005-016"/>
    <x v="660"/>
    <x v="858"/>
    <s v="R-M-2.5"/>
    <n v="5"/>
    <x v="858"/>
    <s v="rcuttspy@techcrunch.com"/>
    <x v="0"/>
    <s v="Rob"/>
    <x v="0"/>
    <x v="2"/>
    <n v="22.884999999999998"/>
    <n v="114.42499999999998"/>
    <x v="0"/>
    <s v="Medium"/>
    <x v="1"/>
  </r>
  <r>
    <s v="LWS-13938-905"/>
    <x v="661"/>
    <x v="859"/>
    <s v="A-M-2.5"/>
    <n v="6"/>
    <x v="859"/>
    <s v="mdelvespz@nature.com"/>
    <x v="0"/>
    <s v="Ara"/>
    <x v="0"/>
    <x v="2"/>
    <n v="25.874999999999996"/>
    <n v="155.24999999999997"/>
    <x v="2"/>
    <s v="Medium"/>
    <x v="0"/>
  </r>
  <r>
    <s v="OLH-95722-362"/>
    <x v="662"/>
    <x v="860"/>
    <s v="L-D-0.5"/>
    <n v="3"/>
    <x v="860"/>
    <s v="dgrittonq0@nydailynews.com"/>
    <x v="0"/>
    <s v="Lib"/>
    <x v="2"/>
    <x v="1"/>
    <n v="7.77"/>
    <n v="23.31"/>
    <x v="3"/>
    <s v="Dark"/>
    <x v="0"/>
  </r>
  <r>
    <s v="OLH-95722-362"/>
    <x v="662"/>
    <x v="860"/>
    <s v="R-M-2.5"/>
    <n v="4"/>
    <x v="860"/>
    <s v="dgrittonq0@nydailynews.com"/>
    <x v="0"/>
    <s v="Rob"/>
    <x v="0"/>
    <x v="2"/>
    <n v="22.884999999999998"/>
    <n v="91.539999999999992"/>
    <x v="0"/>
    <s v="Medium"/>
    <x v="0"/>
  </r>
  <r>
    <s v="KCW-50949-318"/>
    <x v="184"/>
    <x v="861"/>
    <s v="E-L-1"/>
    <n v="5"/>
    <x v="861"/>
    <s v="dgutq2@umich.edu"/>
    <x v="0"/>
    <s v="Exc"/>
    <x v="1"/>
    <x v="0"/>
    <n v="14.85"/>
    <n v="74.25"/>
    <x v="1"/>
    <s v="Light"/>
    <x v="0"/>
  </r>
  <r>
    <s v="JGZ-16947-591"/>
    <x v="663"/>
    <x v="862"/>
    <s v="L-L-0.2"/>
    <n v="6"/>
    <x v="862"/>
    <s v="wpummeryq3@topsy.com"/>
    <x v="0"/>
    <s v="Lib"/>
    <x v="1"/>
    <x v="3"/>
    <n v="4.7549999999999999"/>
    <n v="28.53"/>
    <x v="3"/>
    <s v="Light"/>
    <x v="1"/>
  </r>
  <r>
    <s v="LXS-63326-144"/>
    <x v="334"/>
    <x v="863"/>
    <s v="R-L-0.5"/>
    <n v="2"/>
    <x v="863"/>
    <s v="gsiudaq4@nytimes.com"/>
    <x v="0"/>
    <s v="Rob"/>
    <x v="1"/>
    <x v="1"/>
    <n v="7.169999999999999"/>
    <n v="14.339999999999998"/>
    <x v="0"/>
    <s v="Light"/>
    <x v="0"/>
  </r>
  <r>
    <s v="CZG-86544-655"/>
    <x v="664"/>
    <x v="864"/>
    <s v="A-L-0.5"/>
    <n v="2"/>
    <x v="864"/>
    <s v="hcrowneq5@wufoo.com"/>
    <x v="1"/>
    <s v="Ara"/>
    <x v="1"/>
    <x v="1"/>
    <n v="7.77"/>
    <n v="15.54"/>
    <x v="2"/>
    <s v="Light"/>
    <x v="0"/>
  </r>
  <r>
    <s v="WFV-88138-247"/>
    <x v="24"/>
    <x v="865"/>
    <s v="R-L-1"/>
    <n v="3"/>
    <x v="865"/>
    <s v="vpawseyq6@tiny.cc"/>
    <x v="0"/>
    <s v="Rob"/>
    <x v="1"/>
    <x v="0"/>
    <n v="11.95"/>
    <n v="35.849999999999994"/>
    <x v="0"/>
    <s v="Light"/>
    <x v="1"/>
  </r>
  <r>
    <s v="RFG-28227-288"/>
    <x v="12"/>
    <x v="866"/>
    <s v="A-L-0.5"/>
    <n v="6"/>
    <x v="866"/>
    <s v="awaterhouseq7@istockphoto.com"/>
    <x v="0"/>
    <s v="Ara"/>
    <x v="1"/>
    <x v="1"/>
    <n v="7.77"/>
    <n v="46.62"/>
    <x v="2"/>
    <s v="Light"/>
    <x v="1"/>
  </r>
  <r>
    <s v="QAK-77286-758"/>
    <x v="105"/>
    <x v="867"/>
    <s v="R-L-0.5"/>
    <n v="5"/>
    <x v="867"/>
    <s v="fhaughianq8@1688.com"/>
    <x v="0"/>
    <s v="Rob"/>
    <x v="1"/>
    <x v="1"/>
    <n v="7.169999999999999"/>
    <n v="35.849999999999994"/>
    <x v="0"/>
    <s v="Light"/>
    <x v="1"/>
  </r>
  <r>
    <s v="CZD-56716-840"/>
    <x v="665"/>
    <x v="868"/>
    <s v="L-D-2.5"/>
    <n v="4"/>
    <x v="868"/>
    <s v=""/>
    <x v="0"/>
    <s v="Lib"/>
    <x v="2"/>
    <x v="2"/>
    <n v="29.784999999999997"/>
    <n v="119.13999999999999"/>
    <x v="3"/>
    <s v="Dark"/>
    <x v="1"/>
  </r>
  <r>
    <s v="UBI-59229-277"/>
    <x v="44"/>
    <x v="869"/>
    <s v="L-D-0.5"/>
    <n v="3"/>
    <x v="869"/>
    <s v=""/>
    <x v="0"/>
    <s v="Lib"/>
    <x v="2"/>
    <x v="1"/>
    <n v="7.77"/>
    <n v="23.31"/>
    <x v="3"/>
    <s v="Dark"/>
    <x v="1"/>
  </r>
  <r>
    <s v="WJJ-37489-898"/>
    <x v="171"/>
    <x v="870"/>
    <s v="A-M-1"/>
    <n v="1"/>
    <x v="870"/>
    <s v="rfaltinqb@topsy.com"/>
    <x v="1"/>
    <s v="Ara"/>
    <x v="0"/>
    <x v="0"/>
    <n v="11.25"/>
    <n v="11.25"/>
    <x v="2"/>
    <s v="Medium"/>
    <x v="1"/>
  </r>
  <r>
    <s v="ORX-57454-917"/>
    <x v="328"/>
    <x v="871"/>
    <s v="E-D-2.5"/>
    <n v="3"/>
    <x v="871"/>
    <s v="gcheekeqc@sitemeter.com"/>
    <x v="2"/>
    <s v="Exc"/>
    <x v="2"/>
    <x v="2"/>
    <n v="27.945"/>
    <n v="83.835000000000008"/>
    <x v="1"/>
    <s v="Dark"/>
    <x v="0"/>
  </r>
  <r>
    <s v="GRB-68838-629"/>
    <x v="648"/>
    <x v="872"/>
    <s v="R-L-2.5"/>
    <n v="4"/>
    <x v="872"/>
    <s v="grattqd@phpbb.com"/>
    <x v="1"/>
    <s v="Rob"/>
    <x v="1"/>
    <x v="2"/>
    <n v="27.484999999999996"/>
    <n v="109.93999999999998"/>
    <x v="0"/>
    <s v="Light"/>
    <x v="1"/>
  </r>
  <r>
    <s v="SHT-04865-419"/>
    <x v="666"/>
    <x v="873"/>
    <s v="R-L-0.2"/>
    <n v="4"/>
    <x v="873"/>
    <s v=""/>
    <x v="0"/>
    <s v="Rob"/>
    <x v="1"/>
    <x v="3"/>
    <n v="3.5849999999999995"/>
    <n v="14.339999999999998"/>
    <x v="0"/>
    <s v="Light"/>
    <x v="0"/>
  </r>
  <r>
    <s v="UQI-28177-865"/>
    <x v="577"/>
    <x v="874"/>
    <s v="R-L-0.2"/>
    <n v="6"/>
    <x v="874"/>
    <s v="ieberleinqf@hc360.com"/>
    <x v="0"/>
    <s v="Rob"/>
    <x v="1"/>
    <x v="3"/>
    <n v="3.5849999999999995"/>
    <n v="21.509999999999998"/>
    <x v="0"/>
    <s v="Light"/>
    <x v="1"/>
  </r>
  <r>
    <s v="OIB-13664-879"/>
    <x v="114"/>
    <x v="875"/>
    <s v="A-M-1"/>
    <n v="2"/>
    <x v="875"/>
    <s v="jdrengqg@uiuc.edu"/>
    <x v="1"/>
    <s v="Ara"/>
    <x v="0"/>
    <x v="0"/>
    <n v="11.25"/>
    <n v="22.5"/>
    <x v="2"/>
    <s v="Medium"/>
    <x v="0"/>
  </r>
  <r>
    <s v="PJS-30996-485"/>
    <x v="4"/>
    <x v="857"/>
    <s v="A-L-0.2"/>
    <n v="1"/>
    <x v="857"/>
    <s v=""/>
    <x v="0"/>
    <s v="Ara"/>
    <x v="1"/>
    <x v="3"/>
    <n v="3.8849999999999998"/>
    <n v="3.8849999999999998"/>
    <x v="2"/>
    <s v="Light"/>
    <x v="0"/>
  </r>
  <r>
    <s v="HEL-86709-449"/>
    <x v="667"/>
    <x v="857"/>
    <s v="E-D-2.5"/>
    <n v="1"/>
    <x v="857"/>
    <s v=""/>
    <x v="0"/>
    <s v="Exc"/>
    <x v="2"/>
    <x v="2"/>
    <n v="27.945"/>
    <n v="27.945"/>
    <x v="1"/>
    <s v="Dark"/>
    <x v="0"/>
  </r>
  <r>
    <s v="NCH-55389-562"/>
    <x v="110"/>
    <x v="857"/>
    <s v="E-L-2.5"/>
    <n v="5"/>
    <x v="857"/>
    <s v=""/>
    <x v="0"/>
    <s v="Exc"/>
    <x v="1"/>
    <x v="2"/>
    <n v="34.154999999999994"/>
    <n v="170.77499999999998"/>
    <x v="1"/>
    <s v="Light"/>
    <x v="0"/>
  </r>
  <r>
    <s v="NCH-55389-562"/>
    <x v="110"/>
    <x v="857"/>
    <s v="R-L-2.5"/>
    <n v="2"/>
    <x v="857"/>
    <s v=""/>
    <x v="0"/>
    <s v="Rob"/>
    <x v="1"/>
    <x v="2"/>
    <n v="27.484999999999996"/>
    <n v="54.969999999999992"/>
    <x v="0"/>
    <s v="Light"/>
    <x v="0"/>
  </r>
  <r>
    <s v="NCH-55389-562"/>
    <x v="110"/>
    <x v="857"/>
    <s v="E-L-1"/>
    <n v="1"/>
    <x v="857"/>
    <s v=""/>
    <x v="0"/>
    <s v="Exc"/>
    <x v="1"/>
    <x v="0"/>
    <n v="14.85"/>
    <n v="14.85"/>
    <x v="1"/>
    <s v="Light"/>
    <x v="0"/>
  </r>
  <r>
    <s v="NCH-55389-562"/>
    <x v="110"/>
    <x v="857"/>
    <s v="A-L-0.2"/>
    <n v="2"/>
    <x v="857"/>
    <s v=""/>
    <x v="0"/>
    <s v="Ara"/>
    <x v="1"/>
    <x v="3"/>
    <n v="3.8849999999999998"/>
    <n v="7.77"/>
    <x v="2"/>
    <s v="Light"/>
    <x v="0"/>
  </r>
  <r>
    <s v="GUG-45603-775"/>
    <x v="668"/>
    <x v="876"/>
    <s v="L-L-0.2"/>
    <n v="5"/>
    <x v="876"/>
    <s v="rstrathernqn@devhub.com"/>
    <x v="0"/>
    <s v="Lib"/>
    <x v="1"/>
    <x v="3"/>
    <n v="4.7549999999999999"/>
    <n v="23.774999999999999"/>
    <x v="3"/>
    <s v="Light"/>
    <x v="0"/>
  </r>
  <r>
    <s v="KJB-98240-098"/>
    <x v="422"/>
    <x v="877"/>
    <s v="L-L-1"/>
    <n v="5"/>
    <x v="877"/>
    <s v="cmiguelqo@exblog.jp"/>
    <x v="0"/>
    <s v="Lib"/>
    <x v="1"/>
    <x v="0"/>
    <n v="15.85"/>
    <n v="79.25"/>
    <x v="3"/>
    <s v="Light"/>
    <x v="0"/>
  </r>
  <r>
    <s v="JMS-48374-462"/>
    <x v="669"/>
    <x v="878"/>
    <s v="A-D-2.5"/>
    <n v="2"/>
    <x v="878"/>
    <s v=""/>
    <x v="0"/>
    <s v="Ara"/>
    <x v="2"/>
    <x v="2"/>
    <n v="22.884999999999998"/>
    <n v="45.769999999999996"/>
    <x v="2"/>
    <s v="Dark"/>
    <x v="0"/>
  </r>
  <r>
    <s v="YIT-15877-117"/>
    <x v="670"/>
    <x v="879"/>
    <s v="R-D-1"/>
    <n v="1"/>
    <x v="879"/>
    <s v="mrocksqq@exblog.jp"/>
    <x v="1"/>
    <s v="Rob"/>
    <x v="2"/>
    <x v="0"/>
    <n v="8.9499999999999993"/>
    <n v="8.9499999999999993"/>
    <x v="0"/>
    <s v="Dark"/>
    <x v="0"/>
  </r>
  <r>
    <s v="YVK-82679-655"/>
    <x v="341"/>
    <x v="880"/>
    <s v="R-M-0.5"/>
    <n v="4"/>
    <x v="880"/>
    <s v="yburrellsqr@vinaora.com"/>
    <x v="0"/>
    <s v="Rob"/>
    <x v="0"/>
    <x v="1"/>
    <n v="5.97"/>
    <n v="23.88"/>
    <x v="0"/>
    <s v="Medium"/>
    <x v="0"/>
  </r>
  <r>
    <s v="TYH-81940-054"/>
    <x v="671"/>
    <x v="881"/>
    <s v="E-L-0.2"/>
    <n v="5"/>
    <x v="881"/>
    <s v="cgoodrumqs@goodreads.com"/>
    <x v="0"/>
    <s v="Exc"/>
    <x v="1"/>
    <x v="3"/>
    <n v="4.4550000000000001"/>
    <n v="22.274999999999999"/>
    <x v="1"/>
    <s v="Light"/>
    <x v="1"/>
  </r>
  <r>
    <s v="HTY-30660-254"/>
    <x v="672"/>
    <x v="882"/>
    <s v="R-M-1"/>
    <n v="3"/>
    <x v="882"/>
    <s v="jjefferysqt@blog.com"/>
    <x v="0"/>
    <s v="Rob"/>
    <x v="0"/>
    <x v="0"/>
    <n v="9.9499999999999993"/>
    <n v="29.849999999999998"/>
    <x v="0"/>
    <s v="Medium"/>
    <x v="0"/>
  </r>
  <r>
    <s v="GPW-43956-761"/>
    <x v="673"/>
    <x v="883"/>
    <s v="E-L-0.5"/>
    <n v="6"/>
    <x v="883"/>
    <s v="bwardellqu@adobe.com"/>
    <x v="0"/>
    <s v="Exc"/>
    <x v="1"/>
    <x v="1"/>
    <n v="8.91"/>
    <n v="53.46"/>
    <x v="1"/>
    <s v="Light"/>
    <x v="0"/>
  </r>
  <r>
    <s v="DWY-56352-412"/>
    <x v="674"/>
    <x v="884"/>
    <s v="R-D-0.2"/>
    <n v="1"/>
    <x v="884"/>
    <s v="zwalisiakqv@ucsd.edu"/>
    <x v="1"/>
    <s v="Rob"/>
    <x v="2"/>
    <x v="3"/>
    <n v="2.6849999999999996"/>
    <n v="2.6849999999999996"/>
    <x v="0"/>
    <s v="Dark"/>
    <x v="0"/>
  </r>
  <r>
    <s v="PUH-55647-976"/>
    <x v="675"/>
    <x v="885"/>
    <s v="R-M-0.2"/>
    <n v="2"/>
    <x v="885"/>
    <s v="wleopoldqw@blogspot.com"/>
    <x v="0"/>
    <s v="Rob"/>
    <x v="0"/>
    <x v="3"/>
    <n v="2.9849999999999999"/>
    <n v="5.97"/>
    <x v="0"/>
    <s v="Medium"/>
    <x v="1"/>
  </r>
  <r>
    <s v="DTB-71371-705"/>
    <x v="539"/>
    <x v="886"/>
    <s v="L-D-1"/>
    <n v="1"/>
    <x v="886"/>
    <s v="cshaldersqx@cisco.com"/>
    <x v="0"/>
    <s v="Lib"/>
    <x v="2"/>
    <x v="0"/>
    <n v="12.95"/>
    <n v="12.95"/>
    <x v="3"/>
    <s v="Dark"/>
    <x v="0"/>
  </r>
  <r>
    <s v="ZDC-64769-740"/>
    <x v="676"/>
    <x v="887"/>
    <s v="E-M-0.5"/>
    <n v="1"/>
    <x v="887"/>
    <s v=""/>
    <x v="0"/>
    <s v="Exc"/>
    <x v="0"/>
    <x v="1"/>
    <n v="8.25"/>
    <n v="8.25"/>
    <x v="1"/>
    <s v="Medium"/>
    <x v="1"/>
  </r>
  <r>
    <s v="TED-81959-419"/>
    <x v="677"/>
    <x v="888"/>
    <s v="A-L-2.5"/>
    <n v="5"/>
    <x v="888"/>
    <s v="nfurberqz@jugem.jp"/>
    <x v="0"/>
    <s v="Ara"/>
    <x v="1"/>
    <x v="2"/>
    <n v="29.784999999999997"/>
    <n v="148.92499999999998"/>
    <x v="2"/>
    <s v="Light"/>
    <x v="1"/>
  </r>
  <r>
    <s v="FDO-25756-141"/>
    <x v="629"/>
    <x v="889"/>
    <s v="A-L-2.5"/>
    <n v="3"/>
    <x v="889"/>
    <s v=""/>
    <x v="1"/>
    <s v="Ara"/>
    <x v="1"/>
    <x v="2"/>
    <n v="29.784999999999997"/>
    <n v="89.35499999999999"/>
    <x v="2"/>
    <s v="Light"/>
    <x v="0"/>
  </r>
  <r>
    <s v="HKN-31467-517"/>
    <x v="662"/>
    <x v="890"/>
    <s v="L-M-1"/>
    <n v="6"/>
    <x v="890"/>
    <s v="ckeaver1@ucoz.com"/>
    <x v="0"/>
    <s v="Lib"/>
    <x v="0"/>
    <x v="0"/>
    <n v="14.55"/>
    <n v="87.300000000000011"/>
    <x v="3"/>
    <s v="Medium"/>
    <x v="1"/>
  </r>
  <r>
    <s v="POF-29666-012"/>
    <x v="102"/>
    <x v="891"/>
    <s v="R-D-0.5"/>
    <n v="1"/>
    <x v="891"/>
    <s v="sroseboroughr2@virginia.edu"/>
    <x v="0"/>
    <s v="Rob"/>
    <x v="2"/>
    <x v="1"/>
    <n v="5.3699999999999992"/>
    <n v="5.3699999999999992"/>
    <x v="0"/>
    <s v="Dark"/>
    <x v="0"/>
  </r>
  <r>
    <s v="IRX-59256-644"/>
    <x v="678"/>
    <x v="892"/>
    <s v="A-D-0.2"/>
    <n v="3"/>
    <x v="892"/>
    <s v="ckingwellr3@squarespace.com"/>
    <x v="1"/>
    <s v="Ara"/>
    <x v="2"/>
    <x v="3"/>
    <n v="2.9849999999999999"/>
    <n v="8.9550000000000001"/>
    <x v="2"/>
    <s v="Dark"/>
    <x v="0"/>
  </r>
  <r>
    <s v="LTN-89139-350"/>
    <x v="679"/>
    <x v="893"/>
    <s v="R-L-2.5"/>
    <n v="5"/>
    <x v="893"/>
    <s v="kcantor4@gmpg.org"/>
    <x v="0"/>
    <s v="Rob"/>
    <x v="1"/>
    <x v="2"/>
    <n v="27.484999999999996"/>
    <n v="137.42499999999998"/>
    <x v="0"/>
    <s v="Light"/>
    <x v="0"/>
  </r>
  <r>
    <s v="TXF-79780-017"/>
    <x v="112"/>
    <x v="894"/>
    <s v="R-L-1"/>
    <n v="5"/>
    <x v="894"/>
    <s v="mblakemorer5@nsw.gov.au"/>
    <x v="0"/>
    <s v="Rob"/>
    <x v="1"/>
    <x v="0"/>
    <n v="11.95"/>
    <n v="59.75"/>
    <x v="0"/>
    <s v="Light"/>
    <x v="1"/>
  </r>
  <r>
    <s v="ALM-80762-974"/>
    <x v="55"/>
    <x v="890"/>
    <s v="A-L-0.5"/>
    <n v="3"/>
    <x v="890"/>
    <s v="ckeaver1@ucoz.com"/>
    <x v="0"/>
    <s v="Ara"/>
    <x v="1"/>
    <x v="1"/>
    <n v="7.77"/>
    <n v="23.31"/>
    <x v="2"/>
    <s v="Light"/>
    <x v="1"/>
  </r>
  <r>
    <s v="NXF-15738-707"/>
    <x v="680"/>
    <x v="895"/>
    <s v="R-D-0.5"/>
    <n v="2"/>
    <x v="895"/>
    <s v=""/>
    <x v="0"/>
    <s v="Rob"/>
    <x v="2"/>
    <x v="1"/>
    <n v="5.3699999999999992"/>
    <n v="10.739999999999998"/>
    <x v="0"/>
    <s v="Dark"/>
    <x v="1"/>
  </r>
  <r>
    <s v="MVV-19034-198"/>
    <x v="94"/>
    <x v="896"/>
    <s v="E-D-2.5"/>
    <n v="6"/>
    <x v="896"/>
    <s v=""/>
    <x v="0"/>
    <s v="Exc"/>
    <x v="2"/>
    <x v="2"/>
    <n v="27.945"/>
    <n v="167.67000000000002"/>
    <x v="1"/>
    <s v="Dark"/>
    <x v="0"/>
  </r>
  <r>
    <s v="KUX-19632-830"/>
    <x v="160"/>
    <x v="897"/>
    <s v="E-D-0.2"/>
    <n v="6"/>
    <x v="897"/>
    <s v="cbernardotr9@wix.com"/>
    <x v="0"/>
    <s v="Exc"/>
    <x v="2"/>
    <x v="3"/>
    <n v="3.645"/>
    <n v="21.87"/>
    <x v="1"/>
    <s v="Dark"/>
    <x v="0"/>
  </r>
  <r>
    <s v="SNZ-44595-152"/>
    <x v="681"/>
    <x v="898"/>
    <s v="R-L-1"/>
    <n v="2"/>
    <x v="898"/>
    <s v="kkemeryra@t.co"/>
    <x v="0"/>
    <s v="Rob"/>
    <x v="1"/>
    <x v="0"/>
    <n v="11.95"/>
    <n v="23.9"/>
    <x v="0"/>
    <s v="Light"/>
    <x v="0"/>
  </r>
  <r>
    <s v="GQA-37241-629"/>
    <x v="502"/>
    <x v="899"/>
    <s v="A-M-0.2"/>
    <n v="2"/>
    <x v="899"/>
    <s v="fparlotrb@forbes.com"/>
    <x v="0"/>
    <s v="Ara"/>
    <x v="0"/>
    <x v="3"/>
    <n v="3.375"/>
    <n v="6.75"/>
    <x v="2"/>
    <s v="Medium"/>
    <x v="0"/>
  </r>
  <r>
    <s v="WVV-79948-067"/>
    <x v="682"/>
    <x v="900"/>
    <s v="E-M-2.5"/>
    <n v="1"/>
    <x v="900"/>
    <s v="rcheakrc@tripadvisor.com"/>
    <x v="1"/>
    <s v="Exc"/>
    <x v="0"/>
    <x v="2"/>
    <n v="31.624999999999996"/>
    <n v="31.624999999999996"/>
    <x v="1"/>
    <s v="Medium"/>
    <x v="0"/>
  </r>
  <r>
    <s v="LHX-81117-166"/>
    <x v="683"/>
    <x v="901"/>
    <s v="R-L-1"/>
    <n v="4"/>
    <x v="901"/>
    <s v="kogeneayrd@utexas.edu"/>
    <x v="0"/>
    <s v="Rob"/>
    <x v="1"/>
    <x v="0"/>
    <n v="11.95"/>
    <n v="47.8"/>
    <x v="0"/>
    <s v="Light"/>
    <x v="1"/>
  </r>
  <r>
    <s v="GCD-75444-320"/>
    <x v="594"/>
    <x v="902"/>
    <s v="L-M-2.5"/>
    <n v="1"/>
    <x v="902"/>
    <s v="cayrere@symantec.com"/>
    <x v="0"/>
    <s v="Lib"/>
    <x v="0"/>
    <x v="2"/>
    <n v="33.464999999999996"/>
    <n v="33.464999999999996"/>
    <x v="3"/>
    <s v="Medium"/>
    <x v="1"/>
  </r>
  <r>
    <s v="SGA-30059-217"/>
    <x v="389"/>
    <x v="903"/>
    <s v="A-D-0.5"/>
    <n v="5"/>
    <x v="903"/>
    <s v="lkynetonrf@macromedia.com"/>
    <x v="2"/>
    <s v="Ara"/>
    <x v="2"/>
    <x v="1"/>
    <n v="5.97"/>
    <n v="29.849999999999998"/>
    <x v="2"/>
    <s v="Dark"/>
    <x v="0"/>
  </r>
  <r>
    <s v="GNL-98714-885"/>
    <x v="583"/>
    <x v="904"/>
    <s v="R-M-1"/>
    <n v="3"/>
    <x v="904"/>
    <s v=""/>
    <x v="2"/>
    <s v="Rob"/>
    <x v="0"/>
    <x v="0"/>
    <n v="9.9499999999999993"/>
    <n v="29.849999999999998"/>
    <x v="0"/>
    <s v="Medium"/>
    <x v="0"/>
  </r>
  <r>
    <s v="OQA-93249-841"/>
    <x v="647"/>
    <x v="905"/>
    <s v="A-M-2.5"/>
    <n v="6"/>
    <x v="905"/>
    <s v=""/>
    <x v="0"/>
    <s v="Ara"/>
    <x v="0"/>
    <x v="2"/>
    <n v="25.874999999999996"/>
    <n v="155.24999999999997"/>
    <x v="2"/>
    <s v="Medium"/>
    <x v="0"/>
  </r>
  <r>
    <s v="DUV-12075-132"/>
    <x v="366"/>
    <x v="906"/>
    <s v="E-D-0.2"/>
    <n v="5"/>
    <x v="906"/>
    <s v=""/>
    <x v="0"/>
    <s v="Exc"/>
    <x v="2"/>
    <x v="3"/>
    <n v="3.645"/>
    <n v="18.225000000000001"/>
    <x v="1"/>
    <s v="Dark"/>
    <x v="1"/>
  </r>
  <r>
    <s v="DUV-12075-132"/>
    <x v="366"/>
    <x v="906"/>
    <s v="L-D-0.5"/>
    <n v="2"/>
    <x v="906"/>
    <s v=""/>
    <x v="0"/>
    <s v="Lib"/>
    <x v="2"/>
    <x v="1"/>
    <n v="7.77"/>
    <n v="15.54"/>
    <x v="3"/>
    <s v="Dark"/>
    <x v="1"/>
  </r>
  <r>
    <s v="KPO-24942-184"/>
    <x v="684"/>
    <x v="907"/>
    <s v="L-L-2.5"/>
    <n v="3"/>
    <x v="907"/>
    <s v=""/>
    <x v="1"/>
    <s v="Lib"/>
    <x v="1"/>
    <x v="2"/>
    <n v="36.454999999999998"/>
    <n v="109.36499999999999"/>
    <x v="3"/>
    <s v="Light"/>
    <x v="1"/>
  </r>
  <r>
    <s v="SRJ-79353-838"/>
    <x v="506"/>
    <x v="908"/>
    <s v="A-L-1"/>
    <n v="6"/>
    <x v="908"/>
    <s v=""/>
    <x v="0"/>
    <s v="Ara"/>
    <x v="1"/>
    <x v="0"/>
    <n v="12.95"/>
    <n v="77.699999999999989"/>
    <x v="2"/>
    <s v="Light"/>
    <x v="1"/>
  </r>
  <r>
    <s v="XBV-40336-071"/>
    <x v="685"/>
    <x v="909"/>
    <s v="A-D-0.2"/>
    <n v="3"/>
    <x v="909"/>
    <s v=""/>
    <x v="1"/>
    <s v="Ara"/>
    <x v="2"/>
    <x v="3"/>
    <n v="2.9849999999999999"/>
    <n v="8.9550000000000001"/>
    <x v="2"/>
    <s v="Dark"/>
    <x v="1"/>
  </r>
  <r>
    <s v="RLM-96511-467"/>
    <x v="191"/>
    <x v="910"/>
    <s v="R-L-2.5"/>
    <n v="1"/>
    <x v="910"/>
    <s v="jtewelsonrn@samsung.com"/>
    <x v="0"/>
    <s v="Rob"/>
    <x v="1"/>
    <x v="2"/>
    <n v="27.484999999999996"/>
    <n v="27.484999999999996"/>
    <x v="0"/>
    <s v="Light"/>
    <x v="1"/>
  </r>
  <r>
    <s v="AEZ-13242-456"/>
    <x v="686"/>
    <x v="906"/>
    <s v="R-M-0.5"/>
    <n v="5"/>
    <x v="906"/>
    <s v=""/>
    <x v="0"/>
    <s v="Rob"/>
    <x v="0"/>
    <x v="1"/>
    <n v="5.97"/>
    <n v="29.849999999999998"/>
    <x v="0"/>
    <s v="Medium"/>
    <x v="1"/>
  </r>
  <r>
    <s v="UME-75640-698"/>
    <x v="687"/>
    <x v="906"/>
    <s v="A-M-0.5"/>
    <n v="4"/>
    <x v="906"/>
    <s v=""/>
    <x v="0"/>
    <s v="Ara"/>
    <x v="0"/>
    <x v="1"/>
    <n v="6.75"/>
    <n v="27"/>
    <x v="2"/>
    <s v="Medium"/>
    <x v="1"/>
  </r>
  <r>
    <s v="GJC-66474-557"/>
    <x v="629"/>
    <x v="911"/>
    <s v="A-D-1"/>
    <n v="1"/>
    <x v="911"/>
    <s v="njennyrq@bigcartel.com"/>
    <x v="0"/>
    <s v="Ara"/>
    <x v="2"/>
    <x v="0"/>
    <n v="9.9499999999999993"/>
    <n v="9.9499999999999993"/>
    <x v="2"/>
    <s v="Dark"/>
    <x v="1"/>
  </r>
  <r>
    <s v="IRV-20769-219"/>
    <x v="688"/>
    <x v="912"/>
    <s v="E-M-0.2"/>
    <n v="3"/>
    <x v="912"/>
    <s v=""/>
    <x v="2"/>
    <s v="Exc"/>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47676-55D1-44D2-A2C8-8B6B4505409B}" name="PivotTable1" cacheId="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axis="axisCol" compact="0" outline="0" showAll="0">
      <items count="5">
        <item x="2"/>
        <item x="1"/>
        <item x="3"/>
        <item x="0"/>
        <item t="default"/>
      </items>
    </pivotField>
    <pivotField compact="0" outline="0" showAll="0"/>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6">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7" format="13">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2B8D3-1F16-4E31-A84B-831FA35FD274}" name="PivotTable1" cacheId="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8"/>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A948C5-6164-4F73-9ADF-71BE7B3DF166}" name="PivotTable1" cacheId="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0" numFmtId="168"/>
  </dataFields>
  <chartFormats count="7">
    <chartFormat chart="14"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28"/>
          </reference>
        </references>
      </pivotArea>
    </chartFormat>
    <chartFormat chart="19" format="11">
      <pivotArea type="data" outline="0" fieldPosition="0">
        <references count="2">
          <reference field="4294967294" count="1" selected="0">
            <x v="0"/>
          </reference>
          <reference field="5" count="1" selected="0">
            <x v="125"/>
          </reference>
        </references>
      </pivotArea>
    </chartFormat>
    <chartFormat chart="19" format="12">
      <pivotArea type="data" outline="0" fieldPosition="0">
        <references count="2">
          <reference field="4294967294" count="1" selected="0">
            <x v="0"/>
          </reference>
          <reference field="5" count="1" selected="0">
            <x v="831"/>
          </reference>
        </references>
      </pivotArea>
    </chartFormat>
    <chartFormat chart="19" format="13">
      <pivotArea type="data" outline="0" fieldPosition="0">
        <references count="2">
          <reference field="4294967294" count="1" selected="0">
            <x v="0"/>
          </reference>
          <reference field="5" count="1" selected="0">
            <x v="646"/>
          </reference>
        </references>
      </pivotArea>
    </chartFormat>
    <chartFormat chart="19" format="14">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5E5AE-4CB1-46EC-AF65-21F9C853569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1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pivotField numFmtId="166" showAll="0"/>
    <pivotField numFmtId="167" showAll="0"/>
    <pivotField showAll="0"/>
    <pivotField showAll="0"/>
    <pivotField showAll="0"/>
    <pivotField showAll="0"/>
    <pivotField showAll="0" defaultSubtotal="0"/>
    <pivotField showAll="0" defaultSubtotal="0">
      <items count="6">
        <item x="0"/>
        <item x="1"/>
        <item x="2"/>
        <item x="3"/>
        <item x="4"/>
        <item x="5"/>
      </items>
    </pivotField>
  </pivotFields>
  <rowFields count="1">
    <field x="2"/>
  </rowFields>
  <rowItems count="9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5740EFB-79B3-45F2-B899-448F5C7037EB}" sourceName="Roast Type">
  <pivotTables>
    <pivotTable tabId="18" name="PivotTable1"/>
    <pivotTable tabId="19" name="PivotTable1"/>
    <pivotTable tabId="21" name="PivotTable1"/>
  </pivotTables>
  <data>
    <tabular pivotCacheId="3313149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B47F766-DF5E-46DB-9CEF-64C55A515C96}" sourceName="Size">
  <pivotTables>
    <pivotTable tabId="18" name="PivotTable1"/>
    <pivotTable tabId="19" name="PivotTable1"/>
    <pivotTable tabId="21" name="PivotTable1"/>
  </pivotTables>
  <data>
    <tabular pivotCacheId="33131498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A694432-C8A5-4A37-991E-7A2613B9C9AA}" sourceName="Loyalty Card">
  <pivotTables>
    <pivotTable tabId="18" name="PivotTable1"/>
    <pivotTable tabId="19" name="PivotTable1"/>
    <pivotTable tabId="21" name="PivotTable1"/>
  </pivotTables>
  <data>
    <tabular pivotCacheId="3313149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AB43BFE5-1B5C-49EC-BF26-87A67C049F5D}" cache="Slicer_Roast_Type" caption="Roast Type" columnCount="3" style="Purple Slicer" rowHeight="234950"/>
  <slicer name="Size 1" xr10:uid="{99D41EF2-FB37-4462-AB67-A7D9BF00994F}" cache="Slicer_Size" caption="Size" columnCount="2" style="Purple Slicer" rowHeight="234950"/>
  <slicer name="Loyalty Card 1" xr10:uid="{65A8F5FA-92D5-4687-87E7-5E4E6E3B97DD}"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45D96277-58E0-40C3-875F-1CD7D0992898}" cache="Slicer_Roast_Type" caption="Roast Type" columnCount="3" style="Purple Slicer" rowHeight="234950"/>
  <slicer name="Size 2" xr10:uid="{C870401F-3E60-42D3-863A-81CBBDB949AD}" cache="Slicer_Size" caption="Size" columnCount="2" style="Purple Slicer" rowHeight="234950"/>
  <slicer name="Loyalty Card 2" xr10:uid="{C5E409E2-D52A-4D9D-9554-19312DAE7FDB}" cache="Slicer_Loyalty_Card" caption="Loyalty Card" style="Purple 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9FB51F0E-1752-4600-9912-770932C50A29}" cache="Slicer_Roast_Type" caption="Roast Type" columnCount="3" style="Purple Slicer" rowHeight="234950"/>
  <slicer name="Size" xr10:uid="{780C5D79-7529-4815-A832-9A6C89C02200}" cache="Slicer_Size" caption="Size" columnCount="2" style="Purple Slicer" rowHeight="234950"/>
  <slicer name="Loyalty Card" xr10:uid="{3CE59288-BD5A-4BF0-96E0-1E68DAC2FB77}"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4328F7-0243-4E48-B69A-69A2F81AC37D}" name="Table2" displayName="Table2" ref="A4:L918" totalsRowShown="0">
  <autoFilter ref="A4:L918" xr:uid="{F64328F7-0243-4E48-B69A-69A2F81AC37D}"/>
  <tableColumns count="12">
    <tableColumn id="1" xr3:uid="{B7A7EB08-CA14-447F-935B-2651A7D61E13}" name="Customer ID" dataDxfId="10"/>
    <tableColumn id="2" xr3:uid="{5337517E-03E6-484A-9CBB-AD6E10D500B6}" name="Customer Name" dataDxfId="9">
      <calculatedColumnFormula>INDEX(orders!$F:$F,MATCH(A5,orders!$C:$C,0))</calculatedColumnFormula>
    </tableColumn>
    <tableColumn id="3" xr3:uid="{2A33C21D-9AF1-4736-B3EF-45A629A08300}" name="Last Order Date" dataDxfId="8">
      <calculatedColumnFormula>_xlfn.MAXIFS(orders!$B:$B,orders!$C:$C,A5)</calculatedColumnFormula>
    </tableColumn>
    <tableColumn id="4" xr3:uid="{A508DDCC-4AD2-4B53-B868-608FA29BF565}" name="Recency (days)" dataDxfId="7">
      <calculatedColumnFormula>$B$1-C5</calculatedColumnFormula>
    </tableColumn>
    <tableColumn id="5" xr3:uid="{50961510-BEBC-4588-8D72-DDE373759374}" name="Frequency" dataDxfId="6">
      <calculatedColumnFormula>COUNTIFS(orders!$C:$C,A5)</calculatedColumnFormula>
    </tableColumn>
    <tableColumn id="6" xr3:uid="{6BE1BAFF-EAD2-43AA-BCC2-E51A256CD058}" name="Monetary" dataDxfId="5">
      <calculatedColumnFormula>SUMIFS(orders!$M:$M,orders!$C:$C,A5)</calculatedColumnFormula>
    </tableColumn>
    <tableColumn id="7" xr3:uid="{CC0278F2-DD7E-47EC-A752-DBF94DE6681E}" name="Loyalty Card" dataDxfId="4">
      <calculatedColumnFormula>INDEX(orders!$P:$P,MATCH(A5,orders!$C:$C,0))</calculatedColumnFormula>
    </tableColumn>
    <tableColumn id="8" xr3:uid="{64A8CB99-1741-4762-979F-5AFF77FB20A5}" name="R Score" dataDxfId="3">
      <calculatedColumnFormula>IF(D5&lt;=$E$1,5,IF(D5&lt;=$F$1,4,IF(D5&lt;=$G$1,3,IF(D5&lt;=$H$1,2,1))))</calculatedColumnFormula>
    </tableColumn>
    <tableColumn id="9" xr3:uid="{C15AD06B-9168-48E0-BC74-A90FB4D62BFF}" name="F Score" dataDxfId="2">
      <calculatedColumnFormula>IF(E5&lt;=1,1,IF(E5&lt;=2,3,5))</calculatedColumnFormula>
    </tableColumn>
    <tableColumn id="10" xr3:uid="{34BD3CC9-C07C-48AE-9217-3508B48AA87B}" name="M Score">
      <calculatedColumnFormula>IF(F5&lt;=PERCENTILE($F$5:$F$917,0.2),1,IF(F5&lt;=PERCENTILE($F$5:$F$917,0.4),2,IF(F5&lt;=PERCENTILE($F$5:$F$917,0.6),3,IF(F5&lt;=PERCENTILE($F$5:$F$917,0.8),4,5))))</calculatedColumnFormula>
    </tableColumn>
    <tableColumn id="11" xr3:uid="{128652FD-628A-4B47-A38E-9A1C95592996}" name="RFM Score" dataDxfId="1">
      <calculatedColumnFormula>H5+I5+J5</calculatedColumnFormula>
    </tableColumn>
    <tableColumn id="12" xr3:uid="{88B68A8D-7B85-4516-8997-253A9FA891F6}" name="Segment">
      <calculatedColumnFormula>IF(AND(E5&gt;=2,H5&gt;=4),"Loyal Repeat Customers",IF(E5&gt;=2,"At-Risk Repeat Customers",IF(AND(H5&gt;=4,J5&gt;=4),"Recent High-Value (One-Time)",IF(H5&lt;=2,"Lapsed One-Time Buyers","Standard One-Time Buyers"))))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27D509-5E57-46B2-AAA2-3C8EBBDEBBEA}" name="Table3" displayName="Table3" ref="N4:O9" totalsRowShown="0">
  <autoFilter ref="N4:O9" xr:uid="{B927D509-5E57-46B2-AAA2-3C8EBBDEBBEA}"/>
  <tableColumns count="2">
    <tableColumn id="1" xr3:uid="{5DDB3816-0939-42C7-B6B9-7F40CCB73CE7}" name="Segment "/>
    <tableColumn id="2" xr3:uid="{D6D428AE-E874-41DF-AA2D-DAA6F84F6880}" name="Count" dataDxfId="0">
      <calculatedColumnFormula>COUNTIF($L$5:$L$917,N5)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8EBD9-C67F-43D8-9AFB-9757BD48D21A}" name="Orders" displayName="Orders" ref="A1:P1001" totalsRowShown="0" headerRowDxfId="21">
  <autoFilter ref="A1:P1001" xr:uid="{3568EBD9-C67F-43D8-9AFB-9757BD48D21A}"/>
  <tableColumns count="16">
    <tableColumn id="1" xr3:uid="{9060972F-81CC-4432-AF93-4D8D23F9EB09}" name="Order ID" dataDxfId="20"/>
    <tableColumn id="2" xr3:uid="{3D6CB3C5-A1F6-477B-932D-6DFBC896EEE3}" name="Order Date" dataDxfId="19"/>
    <tableColumn id="3" xr3:uid="{7779A5A6-15F5-4DBD-B210-CB09DAC1959A}" name="Customer ID" dataDxfId="18"/>
    <tableColumn id="4" xr3:uid="{AB97B578-E357-4EE5-A3E8-40890AA52C70}" name="Product ID"/>
    <tableColumn id="5" xr3:uid="{F72A76E2-A015-4DD2-B829-79222FAE3FD1}" name="Quantity" dataDxfId="17"/>
    <tableColumn id="6" xr3:uid="{D1FB651C-8443-47B2-A9AF-6DD168BF4E48}" name="Customer Name" dataDxfId="16">
      <calculatedColumnFormula>_xlfn.XLOOKUP(C2,customers!$A$1:$A$1001,customers!$B$1:$B$1001,0)</calculatedColumnFormula>
    </tableColumn>
    <tableColumn id="7" xr3:uid="{DED9B70F-9119-434B-BFD7-4399A036903B}" name="Email" dataDxfId="15">
      <calculatedColumnFormula>IF(_xlfn.XLOOKUP(C2,customers!$A$1:$A$1001,customers!$C$1:$C$1001,,0)=0,"",_xlfn.XLOOKUP(C2,customers!$A$1:$A$1001,customers!$C$1:$C$1001,,0))</calculatedColumnFormula>
    </tableColumn>
    <tableColumn id="8" xr3:uid="{3F014FCC-D7C8-4DD9-B075-21159CE04035}" name="Country" dataDxfId="14">
      <calculatedColumnFormula>_xlfn.XLOOKUP(C2,customers!$A$1:$A$1001,customers!$G$1:$G$1001,,0)</calculatedColumnFormula>
    </tableColumn>
    <tableColumn id="9" xr3:uid="{0C34C4FD-DD94-48AB-AE67-0E3D8F5AA428}" name="Coffee Type">
      <calculatedColumnFormula>INDEX(products!$A$1:$G$49,MATCH(orders!$D2,products!$A$1:$A$49,0),MATCH(orders!I$1,products!$A$1:$G$1,0))</calculatedColumnFormula>
    </tableColumn>
    <tableColumn id="10" xr3:uid="{1CAF6AA0-B1C8-445A-95AC-FF8C117E0D02}" name="Roast Type">
      <calculatedColumnFormula>INDEX(products!$A$1:$G$49,MATCH(orders!$D2,products!$A$1:$A$49,0),MATCH(orders!J$1,products!$A$1:$G$1,0))</calculatedColumnFormula>
    </tableColumn>
    <tableColumn id="11" xr3:uid="{1C0E021E-7A5B-4ADE-9B7F-D8424EC83F44}" name="Size" dataDxfId="13">
      <calculatedColumnFormula>INDEX(products!$A$1:$G$49,MATCH(orders!$D2,products!$A$1:$A$49,0),MATCH(orders!K$1,products!$A$1:$G$1,0))</calculatedColumnFormula>
    </tableColumn>
    <tableColumn id="12" xr3:uid="{1F4BEA1F-5480-42A4-A983-B9D55EF5BD58}" name="Unit Price" dataDxfId="12" dataCellStyle="Currency">
      <calculatedColumnFormula>INDEX(products!$A$1:$G$49,MATCH(orders!$D2,products!$A$1:$A$49,0),MATCH(orders!L$1,products!$A$1:$G$1,0))</calculatedColumnFormula>
    </tableColumn>
    <tableColumn id="13" xr3:uid="{EB454988-06F2-40AA-A7BF-033AEB810238}" name="Sales">
      <calculatedColumnFormula>L2*E2</calculatedColumnFormula>
    </tableColumn>
    <tableColumn id="14" xr3:uid="{C26F7ECD-4C02-4D29-A1C9-74A6A995A176}" name="Coffee Type Name">
      <calculatedColumnFormula>IF(I2="Rob","Robusta",IF(I2="Exc","Excelsa",IF(I2="Ara","Arabica",IF(I2="Lib","Liberica",""))))</calculatedColumnFormula>
    </tableColumn>
    <tableColumn id="15" xr3:uid="{0A5E960B-2642-4E8F-834A-FE128FFF41C1}" name="Roast Type Name">
      <calculatedColumnFormula>IF(J2="M","Medium",IF(J2="L","Light",IF(J2="D","Dark","")))</calculatedColumnFormula>
    </tableColumn>
    <tableColumn id="16" xr3:uid="{A1611A42-C83B-4983-AB53-6EF56C3C221F}" name="Loyalty Card" dataDxfId="11">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F1B557-E665-40E6-8CC1-E83596577AA7}" sourceName="Order Date">
  <pivotTables>
    <pivotTable tabId="18" name="PivotTable1"/>
    <pivotTable tabId="19" name="PivotTable1"/>
    <pivotTable tabId="21" name="PivotTable1"/>
  </pivotTables>
  <state minimalRefreshVersion="6" lastRefreshVersion="6" pivotCacheId="3313149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8258B2-0C10-4083-B6A3-E40B1788D85C}"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F056-1517-4BDA-B32D-EE345AA648EF}">
  <dimension ref="A1:O918"/>
  <sheetViews>
    <sheetView tabSelected="1" topLeftCell="E1" workbookViewId="0">
      <selection activeCell="L6" sqref="L6"/>
    </sheetView>
  </sheetViews>
  <sheetFormatPr defaultRowHeight="14.4" x14ac:dyDescent="0.3"/>
  <cols>
    <col min="1" max="1" width="16" bestFit="1" customWidth="1"/>
    <col min="2" max="2" width="21.77734375" style="10" bestFit="1" customWidth="1"/>
    <col min="3" max="3" width="15.77734375" style="10" customWidth="1"/>
    <col min="4" max="4" width="38.88671875" style="14" bestFit="1" customWidth="1"/>
    <col min="5" max="5" width="11.6640625" style="14" customWidth="1"/>
    <col min="6" max="6" width="11.21875" style="16" customWidth="1"/>
    <col min="7" max="7" width="13.33203125" style="14" customWidth="1"/>
    <col min="8" max="8" width="9.109375" customWidth="1"/>
    <col min="9" max="9" width="8.88671875" customWidth="1"/>
    <col min="10" max="10" width="9.77734375" customWidth="1"/>
    <col min="11" max="11" width="11.77734375" style="14" customWidth="1"/>
    <col min="12" max="12" width="25.88671875" bestFit="1" customWidth="1"/>
    <col min="14" max="14" width="27.88671875" bestFit="1" customWidth="1"/>
    <col min="15" max="15" width="12.88671875" style="14" bestFit="1" customWidth="1"/>
  </cols>
  <sheetData>
    <row r="1" spans="1:15" x14ac:dyDescent="0.3">
      <c r="A1" t="s">
        <v>6226</v>
      </c>
      <c r="B1" s="10">
        <f>MAX(orders!B:B)+1</f>
        <v>44793</v>
      </c>
      <c r="E1" s="14">
        <f>PERCENTILE(D5:D917,0.2)</f>
        <v>267.8</v>
      </c>
      <c r="F1" s="14">
        <f>PERCENTILE(D5:D917,0.4)</f>
        <v>509.8</v>
      </c>
      <c r="G1" s="14">
        <f>PERCENTILE(D5:D917,0.6)</f>
        <v>766.19999999999993</v>
      </c>
      <c r="H1" s="14">
        <f>PERCENTILE(D5:D917,0.8)</f>
        <v>1040.8000000000002</v>
      </c>
    </row>
    <row r="4" spans="1:15" x14ac:dyDescent="0.3">
      <c r="A4" s="20" t="s">
        <v>3</v>
      </c>
      <c r="B4" s="10" t="s">
        <v>4</v>
      </c>
      <c r="C4" s="10" t="s">
        <v>6228</v>
      </c>
      <c r="D4" s="18" t="s">
        <v>6229</v>
      </c>
      <c r="E4" s="18" t="s">
        <v>6230</v>
      </c>
      <c r="F4" s="19" t="s">
        <v>6231</v>
      </c>
      <c r="G4" s="18" t="s">
        <v>6189</v>
      </c>
      <c r="H4" t="s">
        <v>6232</v>
      </c>
      <c r="I4" t="s">
        <v>6233</v>
      </c>
      <c r="J4" t="s">
        <v>6234</v>
      </c>
      <c r="K4" s="18" t="s">
        <v>6235</v>
      </c>
      <c r="L4" t="s">
        <v>6236</v>
      </c>
      <c r="N4" t="s">
        <v>6242</v>
      </c>
      <c r="O4" s="18" t="s">
        <v>6243</v>
      </c>
    </row>
    <row r="5" spans="1:15" x14ac:dyDescent="0.3">
      <c r="A5" s="12" t="s">
        <v>4390</v>
      </c>
      <c r="B5" s="14" t="str">
        <f>INDEX(orders!$F:$F,MATCH(A5,orders!$C:$C,0))</f>
        <v>Francesco Dressel</v>
      </c>
      <c r="C5" s="15">
        <f>_xlfn.MAXIFS(orders!$B:$B,orders!$C:$C,A5)</f>
        <v>44754</v>
      </c>
      <c r="D5" s="14">
        <f>$B$1-C5</f>
        <v>39</v>
      </c>
      <c r="E5" s="14">
        <f>COUNTIFS(orders!$C:$C,A5)</f>
        <v>1</v>
      </c>
      <c r="F5" s="16">
        <f>SUMIFS(orders!$M:$M,orders!$C:$C,A5)</f>
        <v>178.70999999999998</v>
      </c>
      <c r="G5" s="14" t="str">
        <f>INDEX(orders!$P:$P,MATCH(A5,orders!$C:$C,0))</f>
        <v>No</v>
      </c>
      <c r="H5" s="17">
        <f>IF(D5&lt;=$E$1,5,IF(D5&lt;=$F$1,4,IF(D5&lt;=$G$1,3,IF(D5&lt;=$H$1,2,1))))</f>
        <v>5</v>
      </c>
      <c r="I5" s="14">
        <f>IF(E5&lt;=1,1,IF(E5&lt;=2,3,5))</f>
        <v>1</v>
      </c>
      <c r="J5">
        <f>IF(F5&lt;=PERCENTILE($F$5:$F$917,0.2),1,IF(F5&lt;=PERCENTILE($F$5:$F$917,0.4),2,IF(F5&lt;=PERCENTILE($F$5:$F$917,0.6),3,IF(F5&lt;=PERCENTILE($F$5:$F$917,0.8),4,5))))</f>
        <v>5</v>
      </c>
      <c r="K5" s="14">
        <f>H5+I5+J5</f>
        <v>11</v>
      </c>
      <c r="L5" t="str">
        <f>IF(AND(E5&gt;=2,H5&gt;=4),"Loyal Repeat Customers",IF(E5&gt;=2,"At-Risk Repeat Customers",IF(AND(H5&gt;=4,J5&gt;=4),"Recent High-Value (One-Time)",IF(H5&lt;=2,"Lapsed One-Time Buyers","Standard One-Time Buyers"))))</f>
        <v>Recent High-Value (One-Time)</v>
      </c>
      <c r="N5" t="s">
        <v>6237</v>
      </c>
      <c r="O5" s="14">
        <f>COUNTIF($L$5:$L$917,N5)</f>
        <v>33</v>
      </c>
    </row>
    <row r="6" spans="1:15" x14ac:dyDescent="0.3">
      <c r="A6" s="12" t="s">
        <v>1437</v>
      </c>
      <c r="B6" s="14" t="str">
        <f>INDEX(orders!$F:$F,MATCH(A6,orders!$C:$C,0))</f>
        <v>Stanislaus Valsler</v>
      </c>
      <c r="C6" s="15">
        <f>_xlfn.MAXIFS(orders!$B:$B,orders!$C:$C,A6)</f>
        <v>43484</v>
      </c>
      <c r="D6" s="14">
        <f t="shared" ref="D6:D69" si="0">$B$1-C6</f>
        <v>1309</v>
      </c>
      <c r="E6" s="14">
        <f>COUNTIFS(orders!$C:$C,A6)</f>
        <v>1</v>
      </c>
      <c r="F6" s="16">
        <f>SUMIFS(orders!$M:$M,orders!$C:$C,A6)</f>
        <v>40.5</v>
      </c>
      <c r="G6" s="14" t="str">
        <f>INDEX(orders!$P:$P,MATCH(A6,orders!$C:$C,0))</f>
        <v>No</v>
      </c>
      <c r="H6" s="17">
        <f t="shared" ref="H6:H69" si="1">IF(D6&lt;=$E$1,5,IF(D6&lt;=$F$1,4,IF(D6&lt;=$G$1,3,IF(D6&lt;=$H$1,2,1))))</f>
        <v>1</v>
      </c>
      <c r="I6" s="14">
        <f t="shared" ref="I6:I69" si="2">IF(E6&lt;=1,1,IF(E6&lt;=2,3,5))</f>
        <v>1</v>
      </c>
      <c r="J6">
        <f t="shared" ref="J6:J69" si="3">IF(F6&lt;=PERCENTILE($F$5:$F$917,0.2),1,IF(F6&lt;=PERCENTILE($F$5:$F$917,0.4),2,IF(F6&lt;=PERCENTILE($F$5:$F$917,0.6),3,IF(F6&lt;=PERCENTILE($F$5:$F$917,0.8),4,5))))</f>
        <v>3</v>
      </c>
      <c r="K6" s="14">
        <f t="shared" ref="K6:K69" si="4">H6+I6+J6</f>
        <v>5</v>
      </c>
      <c r="L6" t="str">
        <f t="shared" ref="L6:L69" si="5">IF(AND(E6&gt;=2,H6&gt;=4),"Loyal Repeat Customers",IF(E6&gt;=2,"At-Risk Repeat Customers",IF(AND(H6&gt;=4,J6&gt;=4),"Recent High-Value (One-Time)",IF(H6&lt;=2,"Lapsed One-Time Buyers","Standard One-Time Buyers"))))</f>
        <v>Lapsed One-Time Buyers</v>
      </c>
      <c r="N6" t="s">
        <v>6238</v>
      </c>
      <c r="O6" s="14">
        <f t="shared" ref="O6:O9" si="6">COUNTIF($L$5:$L$917,N6)</f>
        <v>19</v>
      </c>
    </row>
    <row r="7" spans="1:15" x14ac:dyDescent="0.3">
      <c r="A7" s="12" t="s">
        <v>4036</v>
      </c>
      <c r="B7" s="14" t="str">
        <f>INDEX(orders!$F:$F,MATCH(A7,orders!$C:$C,0))</f>
        <v>Faunie Brigham</v>
      </c>
      <c r="C7" s="15">
        <f>_xlfn.MAXIFS(orders!$B:$B,orders!$C:$C,A7)</f>
        <v>44680</v>
      </c>
      <c r="D7" s="14">
        <f t="shared" si="0"/>
        <v>113</v>
      </c>
      <c r="E7" s="14">
        <f>COUNTIFS(orders!$C:$C,A7)</f>
        <v>4</v>
      </c>
      <c r="F7" s="16">
        <f>SUMIFS(orders!$M:$M,orders!$C:$C,A7)</f>
        <v>163.71999999999997</v>
      </c>
      <c r="G7" s="14" t="str">
        <f>INDEX(orders!$P:$P,MATCH(A7,orders!$C:$C,0))</f>
        <v>Yes</v>
      </c>
      <c r="H7" s="17">
        <f t="shared" si="1"/>
        <v>5</v>
      </c>
      <c r="I7" s="14">
        <f t="shared" si="2"/>
        <v>5</v>
      </c>
      <c r="J7">
        <f t="shared" si="3"/>
        <v>5</v>
      </c>
      <c r="K7" s="14">
        <f t="shared" si="4"/>
        <v>15</v>
      </c>
      <c r="L7" t="str">
        <f t="shared" si="5"/>
        <v>Loyal Repeat Customers</v>
      </c>
      <c r="N7" t="s">
        <v>6239</v>
      </c>
      <c r="O7" s="14">
        <f t="shared" si="6"/>
        <v>129</v>
      </c>
    </row>
    <row r="8" spans="1:15" x14ac:dyDescent="0.3">
      <c r="A8" s="12" t="s">
        <v>1054</v>
      </c>
      <c r="B8" s="14" t="str">
        <f>INDEX(orders!$F:$F,MATCH(A8,orders!$C:$C,0))</f>
        <v>Nickey Youles</v>
      </c>
      <c r="C8" s="15">
        <f>_xlfn.MAXIFS(orders!$B:$B,orders!$C:$C,A8)</f>
        <v>43891</v>
      </c>
      <c r="D8" s="14">
        <f t="shared" si="0"/>
        <v>902</v>
      </c>
      <c r="E8" s="14">
        <f>COUNTIFS(orders!$C:$C,A8)</f>
        <v>1</v>
      </c>
      <c r="F8" s="16">
        <f>SUMIFS(orders!$M:$M,orders!$C:$C,A8)</f>
        <v>148.92499999999998</v>
      </c>
      <c r="G8" s="14" t="str">
        <f>INDEX(orders!$P:$P,MATCH(A8,orders!$C:$C,0))</f>
        <v>Yes</v>
      </c>
      <c r="H8" s="17">
        <f t="shared" si="1"/>
        <v>2</v>
      </c>
      <c r="I8" s="14">
        <f t="shared" si="2"/>
        <v>1</v>
      </c>
      <c r="J8">
        <f t="shared" si="3"/>
        <v>5</v>
      </c>
      <c r="K8" s="14">
        <f t="shared" si="4"/>
        <v>8</v>
      </c>
      <c r="L8" t="str">
        <f t="shared" si="5"/>
        <v>Lapsed One-Time Buyers</v>
      </c>
      <c r="N8" t="s">
        <v>6240</v>
      </c>
      <c r="O8" s="14">
        <f t="shared" si="6"/>
        <v>351</v>
      </c>
    </row>
    <row r="9" spans="1:15" x14ac:dyDescent="0.3">
      <c r="A9" s="12" t="s">
        <v>5257</v>
      </c>
      <c r="B9" s="14" t="str">
        <f>INDEX(orders!$F:$F,MATCH(A9,orders!$C:$C,0))</f>
        <v>De Drewitt</v>
      </c>
      <c r="C9" s="15">
        <f>_xlfn.MAXIFS(orders!$B:$B,orders!$C:$C,A9)</f>
        <v>44387</v>
      </c>
      <c r="D9" s="14">
        <f t="shared" si="0"/>
        <v>406</v>
      </c>
      <c r="E9" s="14">
        <f>COUNTIFS(orders!$C:$C,A9)</f>
        <v>1</v>
      </c>
      <c r="F9" s="16">
        <f>SUMIFS(orders!$M:$M,orders!$C:$C,A9)</f>
        <v>8.25</v>
      </c>
      <c r="G9" s="14" t="str">
        <f>INDEX(orders!$P:$P,MATCH(A9,orders!$C:$C,0))</f>
        <v>Yes</v>
      </c>
      <c r="H9" s="17">
        <f t="shared" si="1"/>
        <v>4</v>
      </c>
      <c r="I9" s="14">
        <f t="shared" si="2"/>
        <v>1</v>
      </c>
      <c r="J9">
        <f t="shared" si="3"/>
        <v>1</v>
      </c>
      <c r="K9" s="14">
        <f t="shared" si="4"/>
        <v>6</v>
      </c>
      <c r="L9" t="str">
        <f t="shared" si="5"/>
        <v>Standard One-Time Buyers</v>
      </c>
      <c r="N9" t="s">
        <v>6241</v>
      </c>
      <c r="O9" s="14">
        <f t="shared" si="6"/>
        <v>381</v>
      </c>
    </row>
    <row r="10" spans="1:15" x14ac:dyDescent="0.3">
      <c r="A10" s="12" t="s">
        <v>5840</v>
      </c>
      <c r="B10" s="14" t="str">
        <f>INDEX(orders!$F:$F,MATCH(A10,orders!$C:$C,0))</f>
        <v>Edeline Edney</v>
      </c>
      <c r="C10" s="15">
        <f>_xlfn.MAXIFS(orders!$B:$B,orders!$C:$C,A10)</f>
        <v>43719</v>
      </c>
      <c r="D10" s="14">
        <f t="shared" si="0"/>
        <v>1074</v>
      </c>
      <c r="E10" s="14">
        <f>COUNTIFS(orders!$C:$C,A10)</f>
        <v>1</v>
      </c>
      <c r="F10" s="16">
        <f>SUMIFS(orders!$M:$M,orders!$C:$C,A10)</f>
        <v>23.31</v>
      </c>
      <c r="G10" s="14" t="str">
        <f>INDEX(orders!$P:$P,MATCH(A10,orders!$C:$C,0))</f>
        <v>No</v>
      </c>
      <c r="H10" s="17">
        <f t="shared" si="1"/>
        <v>1</v>
      </c>
      <c r="I10" s="14">
        <f t="shared" si="2"/>
        <v>1</v>
      </c>
      <c r="J10">
        <f t="shared" si="3"/>
        <v>2</v>
      </c>
      <c r="K10" s="14">
        <f t="shared" si="4"/>
        <v>4</v>
      </c>
      <c r="L10" t="str">
        <f t="shared" si="5"/>
        <v>Lapsed One-Time Buyers</v>
      </c>
    </row>
    <row r="11" spans="1:15" x14ac:dyDescent="0.3">
      <c r="A11" s="12" t="s">
        <v>650</v>
      </c>
      <c r="B11" s="14" t="str">
        <f>INDEX(orders!$F:$F,MATCH(A11,orders!$C:$C,0))</f>
        <v>Theresita Newbury</v>
      </c>
      <c r="C11" s="15">
        <f>_xlfn.MAXIFS(orders!$B:$B,orders!$C:$C,A11)</f>
        <v>44775</v>
      </c>
      <c r="D11" s="14">
        <f t="shared" si="0"/>
        <v>18</v>
      </c>
      <c r="E11" s="14">
        <f>COUNTIFS(orders!$C:$C,A11)</f>
        <v>1</v>
      </c>
      <c r="F11" s="16">
        <f>SUMIFS(orders!$M:$M,orders!$C:$C,A11)</f>
        <v>17.91</v>
      </c>
      <c r="G11" s="14" t="str">
        <f>INDEX(orders!$P:$P,MATCH(A11,orders!$C:$C,0))</f>
        <v>No</v>
      </c>
      <c r="H11" s="17">
        <f t="shared" si="1"/>
        <v>5</v>
      </c>
      <c r="I11" s="14">
        <f t="shared" si="2"/>
        <v>1</v>
      </c>
      <c r="J11">
        <f t="shared" si="3"/>
        <v>2</v>
      </c>
      <c r="K11" s="14">
        <f t="shared" si="4"/>
        <v>8</v>
      </c>
      <c r="L11" t="str">
        <f t="shared" si="5"/>
        <v>Standard One-Time Buyers</v>
      </c>
      <c r="N11" t="s">
        <v>6244</v>
      </c>
    </row>
    <row r="12" spans="1:15" x14ac:dyDescent="0.3">
      <c r="A12" s="12" t="s">
        <v>1672</v>
      </c>
      <c r="B12" s="14" t="str">
        <f>INDEX(orders!$F:$F,MATCH(A12,orders!$C:$C,0))</f>
        <v>Anselma Attwater</v>
      </c>
      <c r="C12" s="15">
        <f>_xlfn.MAXIFS(orders!$B:$B,orders!$C:$C,A12)</f>
        <v>43790</v>
      </c>
      <c r="D12" s="14">
        <f t="shared" si="0"/>
        <v>1003</v>
      </c>
      <c r="E12" s="14">
        <f>COUNTIFS(orders!$C:$C,A12)</f>
        <v>2</v>
      </c>
      <c r="F12" s="16">
        <f>SUMIFS(orders!$M:$M,orders!$C:$C,A12)</f>
        <v>71.699999999999989</v>
      </c>
      <c r="G12" s="14" t="str">
        <f>INDEX(orders!$P:$P,MATCH(A12,orders!$C:$C,0))</f>
        <v>Yes</v>
      </c>
      <c r="H12" s="17">
        <f t="shared" si="1"/>
        <v>2</v>
      </c>
      <c r="I12" s="14">
        <f t="shared" si="2"/>
        <v>3</v>
      </c>
      <c r="J12">
        <f t="shared" si="3"/>
        <v>4</v>
      </c>
      <c r="K12" s="14">
        <f t="shared" si="4"/>
        <v>9</v>
      </c>
      <c r="L12" t="str">
        <f t="shared" si="5"/>
        <v>At-Risk Repeat Customers</v>
      </c>
      <c r="N12" t="s">
        <v>6189</v>
      </c>
      <c r="O12" s="14" t="s">
        <v>6245</v>
      </c>
    </row>
    <row r="13" spans="1:15" x14ac:dyDescent="0.3">
      <c r="A13" s="12" t="s">
        <v>6059</v>
      </c>
      <c r="B13" s="14" t="str">
        <f>INDEX(orders!$F:$F,MATCH(A13,orders!$C:$C,0))</f>
        <v>Koressa O'Geneay</v>
      </c>
      <c r="C13" s="15">
        <f>_xlfn.MAXIFS(orders!$B:$B,orders!$C:$C,A13)</f>
        <v>44561</v>
      </c>
      <c r="D13" s="14">
        <f t="shared" si="0"/>
        <v>232</v>
      </c>
      <c r="E13" s="14">
        <f>COUNTIFS(orders!$C:$C,A13)</f>
        <v>1</v>
      </c>
      <c r="F13" s="16">
        <f>SUMIFS(orders!$M:$M,orders!$C:$C,A13)</f>
        <v>47.8</v>
      </c>
      <c r="G13" s="14" t="str">
        <f>INDEX(orders!$P:$P,MATCH(A13,orders!$C:$C,0))</f>
        <v>No</v>
      </c>
      <c r="H13" s="17">
        <f t="shared" si="1"/>
        <v>5</v>
      </c>
      <c r="I13" s="14">
        <f t="shared" si="2"/>
        <v>1</v>
      </c>
      <c r="J13">
        <f t="shared" si="3"/>
        <v>4</v>
      </c>
      <c r="K13" s="14">
        <f t="shared" si="4"/>
        <v>10</v>
      </c>
      <c r="L13" t="str">
        <f t="shared" si="5"/>
        <v>Recent High-Value (One-Time)</v>
      </c>
      <c r="N13" t="s">
        <v>6191</v>
      </c>
      <c r="O13" s="21">
        <f>COUNTIFS($G$5:$G$917,N13,$E$5:$E$917,"&gt;=2")/COUNTIF($G$5:$G$917,N13)*100</f>
        <v>6.5957446808510634</v>
      </c>
    </row>
    <row r="14" spans="1:15" x14ac:dyDescent="0.3">
      <c r="A14" s="12" t="s">
        <v>1294</v>
      </c>
      <c r="B14" s="14" t="str">
        <f>INDEX(orders!$F:$F,MATCH(A14,orders!$C:$C,0))</f>
        <v>Deana Staite</v>
      </c>
      <c r="C14" s="15">
        <f>_xlfn.MAXIFS(orders!$B:$B,orders!$C:$C,A14)</f>
        <v>44083</v>
      </c>
      <c r="D14" s="14">
        <f t="shared" si="0"/>
        <v>710</v>
      </c>
      <c r="E14" s="14">
        <f>COUNTIFS(orders!$C:$C,A14)</f>
        <v>1</v>
      </c>
      <c r="F14" s="16">
        <f>SUMIFS(orders!$M:$M,orders!$C:$C,A14)</f>
        <v>17.46</v>
      </c>
      <c r="G14" s="14" t="str">
        <f>INDEX(orders!$P:$P,MATCH(A14,orders!$C:$C,0))</f>
        <v>No</v>
      </c>
      <c r="H14" s="17">
        <f t="shared" si="1"/>
        <v>3</v>
      </c>
      <c r="I14" s="14">
        <f t="shared" si="2"/>
        <v>1</v>
      </c>
      <c r="J14">
        <f t="shared" si="3"/>
        <v>2</v>
      </c>
      <c r="K14" s="14">
        <f t="shared" si="4"/>
        <v>6</v>
      </c>
      <c r="L14" t="str">
        <f t="shared" si="5"/>
        <v>Standard One-Time Buyers</v>
      </c>
      <c r="N14" t="s">
        <v>6190</v>
      </c>
      <c r="O14" s="21">
        <f>COUNTIFS($G$5:$G$917,N14,$E$5:$E$917,"&gt;=2")/COUNTIF($G$5:$G$917,N14)*100</f>
        <v>4.7404063205417613</v>
      </c>
    </row>
    <row r="15" spans="1:15" x14ac:dyDescent="0.3">
      <c r="A15" s="12" t="s">
        <v>4581</v>
      </c>
      <c r="B15" s="14" t="str">
        <f>INDEX(orders!$F:$F,MATCH(A15,orders!$C:$C,0))</f>
        <v>Nico Hubert</v>
      </c>
      <c r="C15" s="15">
        <f>_xlfn.MAXIFS(orders!$B:$B,orders!$C:$C,A15)</f>
        <v>44076</v>
      </c>
      <c r="D15" s="14">
        <f t="shared" si="0"/>
        <v>717</v>
      </c>
      <c r="E15" s="14">
        <f>COUNTIFS(orders!$C:$C,A15)</f>
        <v>1</v>
      </c>
      <c r="F15" s="16">
        <f>SUMIFS(orders!$M:$M,orders!$C:$C,A15)</f>
        <v>6.75</v>
      </c>
      <c r="G15" s="14" t="str">
        <f>INDEX(orders!$P:$P,MATCH(A15,orders!$C:$C,0))</f>
        <v>Yes</v>
      </c>
      <c r="H15" s="17">
        <f t="shared" si="1"/>
        <v>3</v>
      </c>
      <c r="I15" s="14">
        <f t="shared" si="2"/>
        <v>1</v>
      </c>
      <c r="J15">
        <f t="shared" si="3"/>
        <v>1</v>
      </c>
      <c r="K15" s="14">
        <f t="shared" si="4"/>
        <v>5</v>
      </c>
      <c r="L15" t="str">
        <f t="shared" si="5"/>
        <v>Standard One-Time Buyers</v>
      </c>
    </row>
    <row r="16" spans="1:15" x14ac:dyDescent="0.3">
      <c r="A16" s="12" t="s">
        <v>1539</v>
      </c>
      <c r="B16" s="14" t="str">
        <f>INDEX(orders!$F:$F,MATCH(A16,orders!$C:$C,0))</f>
        <v>Mord Meriet</v>
      </c>
      <c r="C16" s="15">
        <f>_xlfn.MAXIFS(orders!$B:$B,orders!$C:$C,A16)</f>
        <v>43684</v>
      </c>
      <c r="D16" s="14">
        <f t="shared" si="0"/>
        <v>1109</v>
      </c>
      <c r="E16" s="14">
        <f>COUNTIFS(orders!$C:$C,A16)</f>
        <v>1</v>
      </c>
      <c r="F16" s="16">
        <f>SUMIFS(orders!$M:$M,orders!$C:$C,A16)</f>
        <v>68.655000000000001</v>
      </c>
      <c r="G16" s="14" t="str">
        <f>INDEX(orders!$P:$P,MATCH(A16,orders!$C:$C,0))</f>
        <v>No</v>
      </c>
      <c r="H16" s="17">
        <f t="shared" si="1"/>
        <v>1</v>
      </c>
      <c r="I16" s="14">
        <f t="shared" si="2"/>
        <v>1</v>
      </c>
      <c r="J16">
        <f t="shared" si="3"/>
        <v>4</v>
      </c>
      <c r="K16" s="14">
        <f t="shared" si="4"/>
        <v>6</v>
      </c>
      <c r="L16" t="str">
        <f t="shared" si="5"/>
        <v>Lapsed One-Time Buyers</v>
      </c>
    </row>
    <row r="17" spans="1:12" x14ac:dyDescent="0.3">
      <c r="A17" s="12" t="s">
        <v>850</v>
      </c>
      <c r="B17" s="14" t="str">
        <f>INDEX(orders!$F:$F,MATCH(A17,orders!$C:$C,0))</f>
        <v>Felecia Dodgson</v>
      </c>
      <c r="C17" s="15">
        <f>_xlfn.MAXIFS(orders!$B:$B,orders!$C:$C,A17)</f>
        <v>43913</v>
      </c>
      <c r="D17" s="14">
        <f t="shared" si="0"/>
        <v>880</v>
      </c>
      <c r="E17" s="14">
        <f>COUNTIFS(orders!$C:$C,A17)</f>
        <v>1</v>
      </c>
      <c r="F17" s="16">
        <f>SUMIFS(orders!$M:$M,orders!$C:$C,A17)</f>
        <v>35.82</v>
      </c>
      <c r="G17" s="14" t="str">
        <f>INDEX(orders!$P:$P,MATCH(A17,orders!$C:$C,0))</f>
        <v>Yes</v>
      </c>
      <c r="H17" s="17">
        <f t="shared" si="1"/>
        <v>2</v>
      </c>
      <c r="I17" s="14">
        <f t="shared" si="2"/>
        <v>1</v>
      </c>
      <c r="J17">
        <f t="shared" si="3"/>
        <v>3</v>
      </c>
      <c r="K17" s="14">
        <f t="shared" si="4"/>
        <v>6</v>
      </c>
      <c r="L17" t="str">
        <f t="shared" si="5"/>
        <v>Lapsed One-Time Buyers</v>
      </c>
    </row>
    <row r="18" spans="1:12" x14ac:dyDescent="0.3">
      <c r="A18" s="12" t="s">
        <v>5769</v>
      </c>
      <c r="B18" s="14" t="str">
        <f>INDEX(orders!$F:$F,MATCH(A18,orders!$C:$C,0))</f>
        <v>Read Cutts</v>
      </c>
      <c r="C18" s="15">
        <f>_xlfn.MAXIFS(orders!$B:$B,orders!$C:$C,A18)</f>
        <v>44409</v>
      </c>
      <c r="D18" s="14">
        <f t="shared" si="0"/>
        <v>384</v>
      </c>
      <c r="E18" s="14">
        <f>COUNTIFS(orders!$C:$C,A18)</f>
        <v>1</v>
      </c>
      <c r="F18" s="16">
        <f>SUMIFS(orders!$M:$M,orders!$C:$C,A18)</f>
        <v>114.42499999999998</v>
      </c>
      <c r="G18" s="14" t="str">
        <f>INDEX(orders!$P:$P,MATCH(A18,orders!$C:$C,0))</f>
        <v>No</v>
      </c>
      <c r="H18" s="17">
        <f t="shared" si="1"/>
        <v>4</v>
      </c>
      <c r="I18" s="14">
        <f t="shared" si="2"/>
        <v>1</v>
      </c>
      <c r="J18">
        <f t="shared" si="3"/>
        <v>5</v>
      </c>
      <c r="K18" s="14">
        <f t="shared" si="4"/>
        <v>10</v>
      </c>
      <c r="L18" t="str">
        <f t="shared" si="5"/>
        <v>Recent High-Value (One-Time)</v>
      </c>
    </row>
    <row r="19" spans="1:12" x14ac:dyDescent="0.3">
      <c r="A19" s="12" t="s">
        <v>5074</v>
      </c>
      <c r="B19" s="14" t="str">
        <f>INDEX(orders!$F:$F,MATCH(A19,orders!$C:$C,0))</f>
        <v>Brice Romera</v>
      </c>
      <c r="C19" s="15">
        <f>_xlfn.MAXIFS(orders!$B:$B,orders!$C:$C,A19)</f>
        <v>44114</v>
      </c>
      <c r="D19" s="14">
        <f t="shared" si="0"/>
        <v>679</v>
      </c>
      <c r="E19" s="14">
        <f>COUNTIFS(orders!$C:$C,A19)</f>
        <v>2</v>
      </c>
      <c r="F19" s="16">
        <f>SUMIFS(orders!$M:$M,orders!$C:$C,A19)</f>
        <v>246.20999999999998</v>
      </c>
      <c r="G19" s="14" t="str">
        <f>INDEX(orders!$P:$P,MATCH(A19,orders!$C:$C,0))</f>
        <v>Yes</v>
      </c>
      <c r="H19" s="17">
        <f t="shared" si="1"/>
        <v>3</v>
      </c>
      <c r="I19" s="14">
        <f t="shared" si="2"/>
        <v>3</v>
      </c>
      <c r="J19">
        <f t="shared" si="3"/>
        <v>5</v>
      </c>
      <c r="K19" s="14">
        <f t="shared" si="4"/>
        <v>11</v>
      </c>
      <c r="L19" t="str">
        <f t="shared" si="5"/>
        <v>At-Risk Repeat Customers</v>
      </c>
    </row>
    <row r="20" spans="1:12" x14ac:dyDescent="0.3">
      <c r="A20" s="12" t="s">
        <v>1639</v>
      </c>
      <c r="B20" s="14" t="str">
        <f>INDEX(orders!$F:$F,MATCH(A20,orders!$C:$C,0))</f>
        <v>Sarette Ducarel</v>
      </c>
      <c r="C20" s="15">
        <f>_xlfn.MAXIFS(orders!$B:$B,orders!$C:$C,A20)</f>
        <v>44027</v>
      </c>
      <c r="D20" s="14">
        <f t="shared" si="0"/>
        <v>766</v>
      </c>
      <c r="E20" s="14">
        <f>COUNTIFS(orders!$C:$C,A20)</f>
        <v>1</v>
      </c>
      <c r="F20" s="16">
        <f>SUMIFS(orders!$M:$M,orders!$C:$C,A20)</f>
        <v>82.5</v>
      </c>
      <c r="G20" s="14" t="str">
        <f>INDEX(orders!$P:$P,MATCH(A20,orders!$C:$C,0))</f>
        <v>No</v>
      </c>
      <c r="H20" s="17">
        <f t="shared" si="1"/>
        <v>3</v>
      </c>
      <c r="I20" s="14">
        <f t="shared" si="2"/>
        <v>1</v>
      </c>
      <c r="J20">
        <f t="shared" si="3"/>
        <v>5</v>
      </c>
      <c r="K20" s="14">
        <f t="shared" si="4"/>
        <v>9</v>
      </c>
      <c r="L20" t="str">
        <f t="shared" si="5"/>
        <v>Standard One-Time Buyers</v>
      </c>
    </row>
    <row r="21" spans="1:12" x14ac:dyDescent="0.3">
      <c r="A21" s="12" t="s">
        <v>4933</v>
      </c>
      <c r="B21" s="14" t="str">
        <f>INDEX(orders!$F:$F,MATCH(A21,orders!$C:$C,0))</f>
        <v>Cam Jewster</v>
      </c>
      <c r="C21" s="15">
        <f>_xlfn.MAXIFS(orders!$B:$B,orders!$C:$C,A21)</f>
        <v>43889</v>
      </c>
      <c r="D21" s="14">
        <f t="shared" si="0"/>
        <v>904</v>
      </c>
      <c r="E21" s="14">
        <f>COUNTIFS(orders!$C:$C,A21)</f>
        <v>2</v>
      </c>
      <c r="F21" s="16">
        <f>SUMIFS(orders!$M:$M,orders!$C:$C,A21)</f>
        <v>46.965000000000003</v>
      </c>
      <c r="G21" s="14" t="str">
        <f>INDEX(orders!$P:$P,MATCH(A21,orders!$C:$C,0))</f>
        <v>Yes</v>
      </c>
      <c r="H21" s="17">
        <f t="shared" si="1"/>
        <v>2</v>
      </c>
      <c r="I21" s="14">
        <f t="shared" si="2"/>
        <v>3</v>
      </c>
      <c r="J21">
        <f t="shared" si="3"/>
        <v>4</v>
      </c>
      <c r="K21" s="14">
        <f t="shared" si="4"/>
        <v>9</v>
      </c>
      <c r="L21" t="str">
        <f t="shared" si="5"/>
        <v>At-Risk Repeat Customers</v>
      </c>
    </row>
    <row r="22" spans="1:12" x14ac:dyDescent="0.3">
      <c r="A22" s="12" t="s">
        <v>4008</v>
      </c>
      <c r="B22" s="14" t="str">
        <f>INDEX(orders!$F:$F,MATCH(A22,orders!$C:$C,0))</f>
        <v>Nelie Garnson</v>
      </c>
      <c r="C22" s="15">
        <f>_xlfn.MAXIFS(orders!$B:$B,orders!$C:$C,A22)</f>
        <v>44224</v>
      </c>
      <c r="D22" s="14">
        <f t="shared" si="0"/>
        <v>569</v>
      </c>
      <c r="E22" s="14">
        <f>COUNTIFS(orders!$C:$C,A22)</f>
        <v>1</v>
      </c>
      <c r="F22" s="16">
        <f>SUMIFS(orders!$M:$M,orders!$C:$C,A22)</f>
        <v>12.15</v>
      </c>
      <c r="G22" s="14" t="str">
        <f>INDEX(orders!$P:$P,MATCH(A22,orders!$C:$C,0))</f>
        <v>No</v>
      </c>
      <c r="H22" s="17">
        <f t="shared" si="1"/>
        <v>3</v>
      </c>
      <c r="I22" s="14">
        <f t="shared" si="2"/>
        <v>1</v>
      </c>
      <c r="J22">
        <f t="shared" si="3"/>
        <v>1</v>
      </c>
      <c r="K22" s="14">
        <f t="shared" si="4"/>
        <v>5</v>
      </c>
      <c r="L22" t="str">
        <f t="shared" si="5"/>
        <v>Standard One-Time Buyers</v>
      </c>
    </row>
    <row r="23" spans="1:12" x14ac:dyDescent="0.3">
      <c r="A23" s="12" t="s">
        <v>2776</v>
      </c>
      <c r="B23" s="14" t="str">
        <f>INDEX(orders!$F:$F,MATCH(A23,orders!$C:$C,0))</f>
        <v>Leonie Cullrford</v>
      </c>
      <c r="C23" s="15">
        <f>_xlfn.MAXIFS(orders!$B:$B,orders!$C:$C,A23)</f>
        <v>44167</v>
      </c>
      <c r="D23" s="14">
        <f t="shared" si="0"/>
        <v>626</v>
      </c>
      <c r="E23" s="14">
        <f>COUNTIFS(orders!$C:$C,A23)</f>
        <v>1</v>
      </c>
      <c r="F23" s="16">
        <f>SUMIFS(orders!$M:$M,orders!$C:$C,A23)</f>
        <v>24.75</v>
      </c>
      <c r="G23" s="14" t="str">
        <f>INDEX(orders!$P:$P,MATCH(A23,orders!$C:$C,0))</f>
        <v>Yes</v>
      </c>
      <c r="H23" s="17">
        <f t="shared" si="1"/>
        <v>3</v>
      </c>
      <c r="I23" s="14">
        <f t="shared" si="2"/>
        <v>1</v>
      </c>
      <c r="J23">
        <f t="shared" si="3"/>
        <v>2</v>
      </c>
      <c r="K23" s="14">
        <f t="shared" si="4"/>
        <v>6</v>
      </c>
      <c r="L23" t="str">
        <f t="shared" si="5"/>
        <v>Standard One-Time Buyers</v>
      </c>
    </row>
    <row r="24" spans="1:12" x14ac:dyDescent="0.3">
      <c r="A24" s="12" t="s">
        <v>1708</v>
      </c>
      <c r="B24" s="14" t="str">
        <f>INDEX(orders!$F:$F,MATCH(A24,orders!$C:$C,0))</f>
        <v>Alfy Snowding</v>
      </c>
      <c r="C24" s="15">
        <f>_xlfn.MAXIFS(orders!$B:$B,orders!$C:$C,A24)</f>
        <v>44470</v>
      </c>
      <c r="D24" s="14">
        <f t="shared" si="0"/>
        <v>323</v>
      </c>
      <c r="E24" s="14">
        <f>COUNTIFS(orders!$C:$C,A24)</f>
        <v>1</v>
      </c>
      <c r="F24" s="16">
        <f>SUMIFS(orders!$M:$M,orders!$C:$C,A24)</f>
        <v>58.2</v>
      </c>
      <c r="G24" s="14" t="str">
        <f>INDEX(orders!$P:$P,MATCH(A24,orders!$C:$C,0))</f>
        <v>Yes</v>
      </c>
      <c r="H24" s="17">
        <f t="shared" si="1"/>
        <v>4</v>
      </c>
      <c r="I24" s="14">
        <f t="shared" si="2"/>
        <v>1</v>
      </c>
      <c r="J24">
        <f t="shared" si="3"/>
        <v>4</v>
      </c>
      <c r="K24" s="14">
        <f t="shared" si="4"/>
        <v>9</v>
      </c>
      <c r="L24" t="str">
        <f t="shared" si="5"/>
        <v>Recent High-Value (One-Time)</v>
      </c>
    </row>
    <row r="25" spans="1:12" x14ac:dyDescent="0.3">
      <c r="A25" s="12" t="s">
        <v>3618</v>
      </c>
      <c r="B25" s="14" t="str">
        <f>INDEX(orders!$F:$F,MATCH(A25,orders!$C:$C,0))</f>
        <v>Vasily Polglase</v>
      </c>
      <c r="C25" s="15">
        <f>_xlfn.MAXIFS(orders!$B:$B,orders!$C:$C,A25)</f>
        <v>44085</v>
      </c>
      <c r="D25" s="14">
        <f t="shared" si="0"/>
        <v>708</v>
      </c>
      <c r="E25" s="14">
        <f>COUNTIFS(orders!$C:$C,A25)</f>
        <v>1</v>
      </c>
      <c r="F25" s="16">
        <f>SUMIFS(orders!$M:$M,orders!$C:$C,A25)</f>
        <v>68.75</v>
      </c>
      <c r="G25" s="14" t="str">
        <f>INDEX(orders!$P:$P,MATCH(A25,orders!$C:$C,0))</f>
        <v>No</v>
      </c>
      <c r="H25" s="17">
        <f t="shared" si="1"/>
        <v>3</v>
      </c>
      <c r="I25" s="14">
        <f t="shared" si="2"/>
        <v>1</v>
      </c>
      <c r="J25">
        <f t="shared" si="3"/>
        <v>4</v>
      </c>
      <c r="K25" s="14">
        <f t="shared" si="4"/>
        <v>8</v>
      </c>
      <c r="L25" t="str">
        <f t="shared" si="5"/>
        <v>Standard One-Time Buyers</v>
      </c>
    </row>
    <row r="26" spans="1:12" x14ac:dyDescent="0.3">
      <c r="A26" s="12" t="s">
        <v>1246</v>
      </c>
      <c r="B26" s="14" t="str">
        <f>INDEX(orders!$F:$F,MATCH(A26,orders!$C:$C,0))</f>
        <v>Ewell Hanby</v>
      </c>
      <c r="C26" s="15">
        <f>_xlfn.MAXIFS(orders!$B:$B,orders!$C:$C,A26)</f>
        <v>44758</v>
      </c>
      <c r="D26" s="14">
        <f t="shared" si="0"/>
        <v>35</v>
      </c>
      <c r="E26" s="14">
        <f>COUNTIFS(orders!$C:$C,A26)</f>
        <v>1</v>
      </c>
      <c r="F26" s="16">
        <f>SUMIFS(orders!$M:$M,orders!$C:$C,A26)</f>
        <v>94.874999999999986</v>
      </c>
      <c r="G26" s="14" t="str">
        <f>INDEX(orders!$P:$P,MATCH(A26,orders!$C:$C,0))</f>
        <v>Yes</v>
      </c>
      <c r="H26" s="17">
        <f t="shared" si="1"/>
        <v>5</v>
      </c>
      <c r="I26" s="14">
        <f t="shared" si="2"/>
        <v>1</v>
      </c>
      <c r="J26">
        <f t="shared" si="3"/>
        <v>5</v>
      </c>
      <c r="K26" s="14">
        <f t="shared" si="4"/>
        <v>11</v>
      </c>
      <c r="L26" t="str">
        <f t="shared" si="5"/>
        <v>Recent High-Value (One-Time)</v>
      </c>
    </row>
    <row r="27" spans="1:12" x14ac:dyDescent="0.3">
      <c r="A27" s="12" t="s">
        <v>4418</v>
      </c>
      <c r="B27" s="14" t="str">
        <f>INDEX(orders!$F:$F,MATCH(A27,orders!$C:$C,0))</f>
        <v>Davida Caro</v>
      </c>
      <c r="C27" s="15">
        <f>_xlfn.MAXIFS(orders!$B:$B,orders!$C:$C,A27)</f>
        <v>44300</v>
      </c>
      <c r="D27" s="14">
        <f t="shared" si="0"/>
        <v>493</v>
      </c>
      <c r="E27" s="14">
        <f>COUNTIFS(orders!$C:$C,A27)</f>
        <v>1</v>
      </c>
      <c r="F27" s="16">
        <f>SUMIFS(orders!$M:$M,orders!$C:$C,A27)</f>
        <v>182.27499999999998</v>
      </c>
      <c r="G27" s="14" t="str">
        <f>INDEX(orders!$P:$P,MATCH(A27,orders!$C:$C,0))</f>
        <v>Yes</v>
      </c>
      <c r="H27" s="17">
        <f t="shared" si="1"/>
        <v>4</v>
      </c>
      <c r="I27" s="14">
        <f t="shared" si="2"/>
        <v>1</v>
      </c>
      <c r="J27">
        <f t="shared" si="3"/>
        <v>5</v>
      </c>
      <c r="K27" s="14">
        <f t="shared" si="4"/>
        <v>10</v>
      </c>
      <c r="L27" t="str">
        <f t="shared" si="5"/>
        <v>Recent High-Value (One-Time)</v>
      </c>
    </row>
    <row r="28" spans="1:12" x14ac:dyDescent="0.3">
      <c r="A28" s="12" t="s">
        <v>609</v>
      </c>
      <c r="B28" s="14" t="str">
        <f>INDEX(orders!$F:$F,MATCH(A28,orders!$C:$C,0))</f>
        <v>Avrit Davidowsky</v>
      </c>
      <c r="C28" s="15">
        <f>_xlfn.MAXIFS(orders!$B:$B,orders!$C:$C,A28)</f>
        <v>44169</v>
      </c>
      <c r="D28" s="14">
        <f t="shared" si="0"/>
        <v>624</v>
      </c>
      <c r="E28" s="14">
        <f>COUNTIFS(orders!$C:$C,A28)</f>
        <v>1</v>
      </c>
      <c r="F28" s="16">
        <f>SUMIFS(orders!$M:$M,orders!$C:$C,A28)</f>
        <v>17.91</v>
      </c>
      <c r="G28" s="14" t="str">
        <f>INDEX(orders!$P:$P,MATCH(A28,orders!$C:$C,0))</f>
        <v>No</v>
      </c>
      <c r="H28" s="17">
        <f t="shared" si="1"/>
        <v>3</v>
      </c>
      <c r="I28" s="14">
        <f t="shared" si="2"/>
        <v>1</v>
      </c>
      <c r="J28">
        <f t="shared" si="3"/>
        <v>2</v>
      </c>
      <c r="K28" s="14">
        <f t="shared" si="4"/>
        <v>6</v>
      </c>
      <c r="L28" t="str">
        <f t="shared" si="5"/>
        <v>Standard One-Time Buyers</v>
      </c>
    </row>
    <row r="29" spans="1:12" x14ac:dyDescent="0.3">
      <c r="A29" s="12" t="s">
        <v>2086</v>
      </c>
      <c r="B29" s="14" t="str">
        <f>INDEX(orders!$F:$F,MATCH(A29,orders!$C:$C,0))</f>
        <v>Flory Crumpe</v>
      </c>
      <c r="C29" s="15">
        <f>_xlfn.MAXIFS(orders!$B:$B,orders!$C:$C,A29)</f>
        <v>43520</v>
      </c>
      <c r="D29" s="14">
        <f t="shared" si="0"/>
        <v>1273</v>
      </c>
      <c r="E29" s="14">
        <f>COUNTIFS(orders!$C:$C,A29)</f>
        <v>1</v>
      </c>
      <c r="F29" s="16">
        <f>SUMIFS(orders!$M:$M,orders!$C:$C,A29)</f>
        <v>7.77</v>
      </c>
      <c r="G29" s="14" t="str">
        <f>INDEX(orders!$P:$P,MATCH(A29,orders!$C:$C,0))</f>
        <v>No</v>
      </c>
      <c r="H29" s="17">
        <f t="shared" si="1"/>
        <v>1</v>
      </c>
      <c r="I29" s="14">
        <f t="shared" si="2"/>
        <v>1</v>
      </c>
      <c r="J29">
        <f t="shared" si="3"/>
        <v>1</v>
      </c>
      <c r="K29" s="14">
        <f t="shared" si="4"/>
        <v>3</v>
      </c>
      <c r="L29" t="str">
        <f t="shared" si="5"/>
        <v>Lapsed One-Time Buyers</v>
      </c>
    </row>
    <row r="30" spans="1:12" x14ac:dyDescent="0.3">
      <c r="A30" s="12" t="s">
        <v>1234</v>
      </c>
      <c r="B30" s="14" t="str">
        <f>INDEX(orders!$F:$F,MATCH(A30,orders!$C:$C,0))</f>
        <v>Osbert Robins</v>
      </c>
      <c r="C30" s="15">
        <f>_xlfn.MAXIFS(orders!$B:$B,orders!$C:$C,A30)</f>
        <v>44043</v>
      </c>
      <c r="D30" s="14">
        <f t="shared" si="0"/>
        <v>750</v>
      </c>
      <c r="E30" s="14">
        <f>COUNTIFS(orders!$C:$C,A30)</f>
        <v>1</v>
      </c>
      <c r="F30" s="16">
        <f>SUMIFS(orders!$M:$M,orders!$C:$C,A30)</f>
        <v>148.92499999999998</v>
      </c>
      <c r="G30" s="14" t="str">
        <f>INDEX(orders!$P:$P,MATCH(A30,orders!$C:$C,0))</f>
        <v>Yes</v>
      </c>
      <c r="H30" s="17">
        <f t="shared" si="1"/>
        <v>3</v>
      </c>
      <c r="I30" s="14">
        <f t="shared" si="2"/>
        <v>1</v>
      </c>
      <c r="J30">
        <f t="shared" si="3"/>
        <v>5</v>
      </c>
      <c r="K30" s="14">
        <f t="shared" si="4"/>
        <v>9</v>
      </c>
      <c r="L30" t="str">
        <f t="shared" si="5"/>
        <v>Standard One-Time Buyers</v>
      </c>
    </row>
    <row r="31" spans="1:12" x14ac:dyDescent="0.3">
      <c r="A31" s="12" t="s">
        <v>536</v>
      </c>
      <c r="B31" s="14" t="str">
        <f>INDEX(orders!$F:$F,MATCH(A31,orders!$C:$C,0))</f>
        <v>Guthrey Petracci</v>
      </c>
      <c r="C31" s="15">
        <f>_xlfn.MAXIFS(orders!$B:$B,orders!$C:$C,A31)</f>
        <v>43467</v>
      </c>
      <c r="D31" s="14">
        <f t="shared" si="0"/>
        <v>1326</v>
      </c>
      <c r="E31" s="14">
        <f>COUNTIFS(orders!$C:$C,A31)</f>
        <v>1</v>
      </c>
      <c r="F31" s="16">
        <f>SUMIFS(orders!$M:$M,orders!$C:$C,A31)</f>
        <v>17.91</v>
      </c>
      <c r="G31" s="14" t="str">
        <f>INDEX(orders!$P:$P,MATCH(A31,orders!$C:$C,0))</f>
        <v>No</v>
      </c>
      <c r="H31" s="17">
        <f t="shared" si="1"/>
        <v>1</v>
      </c>
      <c r="I31" s="14">
        <f t="shared" si="2"/>
        <v>1</v>
      </c>
      <c r="J31">
        <f t="shared" si="3"/>
        <v>2</v>
      </c>
      <c r="K31" s="14">
        <f t="shared" si="4"/>
        <v>4</v>
      </c>
      <c r="L31" t="str">
        <f t="shared" si="5"/>
        <v>Lapsed One-Time Buyers</v>
      </c>
    </row>
    <row r="32" spans="1:12" x14ac:dyDescent="0.3">
      <c r="A32" s="12" t="s">
        <v>2940</v>
      </c>
      <c r="B32" s="14" t="str">
        <f>INDEX(orders!$F:$F,MATCH(A32,orders!$C:$C,0))</f>
        <v>Chance Rowthorn</v>
      </c>
      <c r="C32" s="15">
        <f>_xlfn.MAXIFS(orders!$B:$B,orders!$C:$C,A32)</f>
        <v>44528</v>
      </c>
      <c r="D32" s="14">
        <f t="shared" si="0"/>
        <v>265</v>
      </c>
      <c r="E32" s="14">
        <f>COUNTIFS(orders!$C:$C,A32)</f>
        <v>1</v>
      </c>
      <c r="F32" s="16">
        <f>SUMIFS(orders!$M:$M,orders!$C:$C,A32)</f>
        <v>8.25</v>
      </c>
      <c r="G32" s="14" t="str">
        <f>INDEX(orders!$P:$P,MATCH(A32,orders!$C:$C,0))</f>
        <v>No</v>
      </c>
      <c r="H32" s="17">
        <f t="shared" si="1"/>
        <v>5</v>
      </c>
      <c r="I32" s="14">
        <f t="shared" si="2"/>
        <v>1</v>
      </c>
      <c r="J32">
        <f t="shared" si="3"/>
        <v>1</v>
      </c>
      <c r="K32" s="14">
        <f t="shared" si="4"/>
        <v>7</v>
      </c>
      <c r="L32" t="str">
        <f t="shared" si="5"/>
        <v>Standard One-Time Buyers</v>
      </c>
    </row>
    <row r="33" spans="1:12" x14ac:dyDescent="0.3">
      <c r="A33" s="12" t="s">
        <v>6082</v>
      </c>
      <c r="B33" s="14" t="str">
        <f>INDEX(orders!$F:$F,MATCH(A33,orders!$C:$C,0))</f>
        <v>Herta Layne</v>
      </c>
      <c r="C33" s="15">
        <f>_xlfn.MAXIFS(orders!$B:$B,orders!$C:$C,A33)</f>
        <v>43560</v>
      </c>
      <c r="D33" s="14">
        <f t="shared" si="0"/>
        <v>1233</v>
      </c>
      <c r="E33" s="14">
        <f>COUNTIFS(orders!$C:$C,A33)</f>
        <v>1</v>
      </c>
      <c r="F33" s="16">
        <f>SUMIFS(orders!$M:$M,orders!$C:$C,A33)</f>
        <v>155.24999999999997</v>
      </c>
      <c r="G33" s="14" t="str">
        <f>INDEX(orders!$P:$P,MATCH(A33,orders!$C:$C,0))</f>
        <v>Yes</v>
      </c>
      <c r="H33" s="17">
        <f t="shared" si="1"/>
        <v>1</v>
      </c>
      <c r="I33" s="14">
        <f t="shared" si="2"/>
        <v>1</v>
      </c>
      <c r="J33">
        <f t="shared" si="3"/>
        <v>5</v>
      </c>
      <c r="K33" s="14">
        <f t="shared" si="4"/>
        <v>7</v>
      </c>
      <c r="L33" t="str">
        <f t="shared" si="5"/>
        <v>Lapsed One-Time Buyers</v>
      </c>
    </row>
    <row r="34" spans="1:12" x14ac:dyDescent="0.3">
      <c r="A34" s="12" t="s">
        <v>3182</v>
      </c>
      <c r="B34" s="14" t="str">
        <f>INDEX(orders!$F:$F,MATCH(A34,orders!$C:$C,0))</f>
        <v>Gardy Dimitriou</v>
      </c>
      <c r="C34" s="15">
        <f>_xlfn.MAXIFS(orders!$B:$B,orders!$C:$C,A34)</f>
        <v>44274</v>
      </c>
      <c r="D34" s="14">
        <f t="shared" si="0"/>
        <v>519</v>
      </c>
      <c r="E34" s="14">
        <f>COUNTIFS(orders!$C:$C,A34)</f>
        <v>1</v>
      </c>
      <c r="F34" s="16">
        <f>SUMIFS(orders!$M:$M,orders!$C:$C,A34)</f>
        <v>26.73</v>
      </c>
      <c r="G34" s="14" t="str">
        <f>INDEX(orders!$P:$P,MATCH(A34,orders!$C:$C,0))</f>
        <v>Yes</v>
      </c>
      <c r="H34" s="17">
        <f t="shared" si="1"/>
        <v>3</v>
      </c>
      <c r="I34" s="14">
        <f t="shared" si="2"/>
        <v>1</v>
      </c>
      <c r="J34">
        <f t="shared" si="3"/>
        <v>3</v>
      </c>
      <c r="K34" s="14">
        <f t="shared" si="4"/>
        <v>7</v>
      </c>
      <c r="L34" t="str">
        <f t="shared" si="5"/>
        <v>Standard One-Time Buyers</v>
      </c>
    </row>
    <row r="35" spans="1:12" x14ac:dyDescent="0.3">
      <c r="A35" s="12" t="s">
        <v>734</v>
      </c>
      <c r="B35" s="14" t="str">
        <f>INDEX(orders!$F:$F,MATCH(A35,orders!$C:$C,0))</f>
        <v>Maurie Bartol</v>
      </c>
      <c r="C35" s="15">
        <f>_xlfn.MAXIFS(orders!$B:$B,orders!$C:$C,A35)</f>
        <v>44473</v>
      </c>
      <c r="D35" s="14">
        <f t="shared" si="0"/>
        <v>320</v>
      </c>
      <c r="E35" s="14">
        <f>COUNTIFS(orders!$C:$C,A35)</f>
        <v>1</v>
      </c>
      <c r="F35" s="16">
        <f>SUMIFS(orders!$M:$M,orders!$C:$C,A35)</f>
        <v>72.91</v>
      </c>
      <c r="G35" s="14" t="str">
        <f>INDEX(orders!$P:$P,MATCH(A35,orders!$C:$C,0))</f>
        <v>No</v>
      </c>
      <c r="H35" s="17">
        <f t="shared" si="1"/>
        <v>4</v>
      </c>
      <c r="I35" s="14">
        <f t="shared" si="2"/>
        <v>1</v>
      </c>
      <c r="J35">
        <f t="shared" si="3"/>
        <v>4</v>
      </c>
      <c r="K35" s="14">
        <f t="shared" si="4"/>
        <v>9</v>
      </c>
      <c r="L35" t="str">
        <f t="shared" si="5"/>
        <v>Recent High-Value (One-Time)</v>
      </c>
    </row>
    <row r="36" spans="1:12" x14ac:dyDescent="0.3">
      <c r="A36" s="12" t="s">
        <v>5867</v>
      </c>
      <c r="B36" s="14" t="str">
        <f>INDEX(orders!$F:$F,MATCH(A36,orders!$C:$C,0))</f>
        <v>Ingamar Eberlein</v>
      </c>
      <c r="C36" s="15">
        <f>_xlfn.MAXIFS(orders!$B:$B,orders!$C:$C,A36)</f>
        <v>44092</v>
      </c>
      <c r="D36" s="14">
        <f t="shared" si="0"/>
        <v>701</v>
      </c>
      <c r="E36" s="14">
        <f>COUNTIFS(orders!$C:$C,A36)</f>
        <v>1</v>
      </c>
      <c r="F36" s="16">
        <f>SUMIFS(orders!$M:$M,orders!$C:$C,A36)</f>
        <v>21.509999999999998</v>
      </c>
      <c r="G36" s="14" t="str">
        <f>INDEX(orders!$P:$P,MATCH(A36,orders!$C:$C,0))</f>
        <v>No</v>
      </c>
      <c r="H36" s="17">
        <f t="shared" si="1"/>
        <v>3</v>
      </c>
      <c r="I36" s="14">
        <f t="shared" si="2"/>
        <v>1</v>
      </c>
      <c r="J36">
        <f t="shared" si="3"/>
        <v>2</v>
      </c>
      <c r="K36" s="14">
        <f t="shared" si="4"/>
        <v>6</v>
      </c>
      <c r="L36" t="str">
        <f t="shared" si="5"/>
        <v>Standard One-Time Buyers</v>
      </c>
    </row>
    <row r="37" spans="1:12" x14ac:dyDescent="0.3">
      <c r="A37" s="12" t="s">
        <v>1334</v>
      </c>
      <c r="B37" s="14" t="str">
        <f>INDEX(orders!$F:$F,MATCH(A37,orders!$C:$C,0))</f>
        <v>Jacinthe Balsillie</v>
      </c>
      <c r="C37" s="15">
        <f>_xlfn.MAXIFS(orders!$B:$B,orders!$C:$C,A37)</f>
        <v>44051</v>
      </c>
      <c r="D37" s="14">
        <f t="shared" si="0"/>
        <v>742</v>
      </c>
      <c r="E37" s="14">
        <f>COUNTIFS(orders!$C:$C,A37)</f>
        <v>1</v>
      </c>
      <c r="F37" s="16">
        <f>SUMIFS(orders!$M:$M,orders!$C:$C,A37)</f>
        <v>12.95</v>
      </c>
      <c r="G37" s="14" t="str">
        <f>INDEX(orders!$P:$P,MATCH(A37,orders!$C:$C,0))</f>
        <v>Yes</v>
      </c>
      <c r="H37" s="17">
        <f t="shared" si="1"/>
        <v>3</v>
      </c>
      <c r="I37" s="14">
        <f t="shared" si="2"/>
        <v>1</v>
      </c>
      <c r="J37">
        <f t="shared" si="3"/>
        <v>1</v>
      </c>
      <c r="K37" s="14">
        <f t="shared" si="4"/>
        <v>5</v>
      </c>
      <c r="L37" t="str">
        <f t="shared" si="5"/>
        <v>Standard One-Time Buyers</v>
      </c>
    </row>
    <row r="38" spans="1:12" x14ac:dyDescent="0.3">
      <c r="A38" s="12" t="s">
        <v>823</v>
      </c>
      <c r="B38" s="14" t="str">
        <f>INDEX(orders!$F:$F,MATCH(A38,orders!$C:$C,0))</f>
        <v>Stanislaus Gilroy</v>
      </c>
      <c r="C38" s="15">
        <f>_xlfn.MAXIFS(orders!$B:$B,orders!$C:$C,A38)</f>
        <v>44537</v>
      </c>
      <c r="D38" s="14">
        <f t="shared" si="0"/>
        <v>256</v>
      </c>
      <c r="E38" s="14">
        <f>COUNTIFS(orders!$C:$C,A38)</f>
        <v>1</v>
      </c>
      <c r="F38" s="16">
        <f>SUMIFS(orders!$M:$M,orders!$C:$C,A38)</f>
        <v>26.19</v>
      </c>
      <c r="G38" s="14" t="str">
        <f>INDEX(orders!$P:$P,MATCH(A38,orders!$C:$C,0))</f>
        <v>Yes</v>
      </c>
      <c r="H38" s="17">
        <f t="shared" si="1"/>
        <v>5</v>
      </c>
      <c r="I38" s="14">
        <f t="shared" si="2"/>
        <v>1</v>
      </c>
      <c r="J38">
        <f t="shared" si="3"/>
        <v>3</v>
      </c>
      <c r="K38" s="14">
        <f t="shared" si="4"/>
        <v>9</v>
      </c>
      <c r="L38" t="str">
        <f t="shared" si="5"/>
        <v>Standard One-Time Buyers</v>
      </c>
    </row>
    <row r="39" spans="1:12" x14ac:dyDescent="0.3">
      <c r="A39" s="12" t="s">
        <v>1913</v>
      </c>
      <c r="B39" s="14" t="str">
        <f>INDEX(orders!$F:$F,MATCH(A39,orders!$C:$C,0))</f>
        <v>Devy Bulbrook</v>
      </c>
      <c r="C39" s="15">
        <f>_xlfn.MAXIFS(orders!$B:$B,orders!$C:$C,A39)</f>
        <v>44779</v>
      </c>
      <c r="D39" s="14">
        <f t="shared" si="0"/>
        <v>14</v>
      </c>
      <c r="E39" s="14">
        <f>COUNTIFS(orders!$C:$C,A39)</f>
        <v>1</v>
      </c>
      <c r="F39" s="16">
        <f>SUMIFS(orders!$M:$M,orders!$C:$C,A39)</f>
        <v>29.849999999999998</v>
      </c>
      <c r="G39" s="14" t="str">
        <f>INDEX(orders!$P:$P,MATCH(A39,orders!$C:$C,0))</f>
        <v>No</v>
      </c>
      <c r="H39" s="17">
        <f t="shared" si="1"/>
        <v>5</v>
      </c>
      <c r="I39" s="14">
        <f t="shared" si="2"/>
        <v>1</v>
      </c>
      <c r="J39">
        <f t="shared" si="3"/>
        <v>3</v>
      </c>
      <c r="K39" s="14">
        <f t="shared" si="4"/>
        <v>9</v>
      </c>
      <c r="L39" t="str">
        <f t="shared" si="5"/>
        <v>Standard One-Time Buyers</v>
      </c>
    </row>
    <row r="40" spans="1:12" x14ac:dyDescent="0.3">
      <c r="A40" s="12" t="s">
        <v>1935</v>
      </c>
      <c r="B40" s="14" t="str">
        <f>INDEX(orders!$F:$F,MATCH(A40,orders!$C:$C,0))</f>
        <v>Zacharias Kiffe</v>
      </c>
      <c r="C40" s="15">
        <f>_xlfn.MAXIFS(orders!$B:$B,orders!$C:$C,A40)</f>
        <v>43861</v>
      </c>
      <c r="D40" s="14">
        <f t="shared" si="0"/>
        <v>932</v>
      </c>
      <c r="E40" s="14">
        <f>COUNTIFS(orders!$C:$C,A40)</f>
        <v>2</v>
      </c>
      <c r="F40" s="16">
        <f>SUMIFS(orders!$M:$M,orders!$C:$C,A40)</f>
        <v>33.31</v>
      </c>
      <c r="G40" s="14" t="str">
        <f>INDEX(orders!$P:$P,MATCH(A40,orders!$C:$C,0))</f>
        <v>Yes</v>
      </c>
      <c r="H40" s="17">
        <f t="shared" si="1"/>
        <v>2</v>
      </c>
      <c r="I40" s="14">
        <f t="shared" si="2"/>
        <v>3</v>
      </c>
      <c r="J40">
        <f t="shared" si="3"/>
        <v>3</v>
      </c>
      <c r="K40" s="14">
        <f t="shared" si="4"/>
        <v>8</v>
      </c>
      <c r="L40" t="str">
        <f t="shared" si="5"/>
        <v>At-Risk Repeat Customers</v>
      </c>
    </row>
    <row r="41" spans="1:12" x14ac:dyDescent="0.3">
      <c r="A41" s="12" t="s">
        <v>806</v>
      </c>
      <c r="B41" s="14" t="str">
        <f>INDEX(orders!$F:$F,MATCH(A41,orders!$C:$C,0))</f>
        <v>Theda Grizard</v>
      </c>
      <c r="C41" s="15">
        <f>_xlfn.MAXIFS(orders!$B:$B,orders!$C:$C,A41)</f>
        <v>43857</v>
      </c>
      <c r="D41" s="14">
        <f t="shared" si="0"/>
        <v>936</v>
      </c>
      <c r="E41" s="14">
        <f>COUNTIFS(orders!$C:$C,A41)</f>
        <v>1</v>
      </c>
      <c r="F41" s="16">
        <f>SUMIFS(orders!$M:$M,orders!$C:$C,A41)</f>
        <v>10.935</v>
      </c>
      <c r="G41" s="14" t="str">
        <f>INDEX(orders!$P:$P,MATCH(A41,orders!$C:$C,0))</f>
        <v>Yes</v>
      </c>
      <c r="H41" s="17">
        <f t="shared" si="1"/>
        <v>2</v>
      </c>
      <c r="I41" s="14">
        <f t="shared" si="2"/>
        <v>1</v>
      </c>
      <c r="J41">
        <f t="shared" si="3"/>
        <v>1</v>
      </c>
      <c r="K41" s="14">
        <f t="shared" si="4"/>
        <v>4</v>
      </c>
      <c r="L41" t="str">
        <f t="shared" si="5"/>
        <v>Lapsed One-Time Buyers</v>
      </c>
    </row>
    <row r="42" spans="1:12" x14ac:dyDescent="0.3">
      <c r="A42" s="12" t="s">
        <v>5873</v>
      </c>
      <c r="B42" s="14" t="str">
        <f>INDEX(orders!$F:$F,MATCH(A42,orders!$C:$C,0))</f>
        <v>Jilly Dreng</v>
      </c>
      <c r="C42" s="15">
        <f>_xlfn.MAXIFS(orders!$B:$B,orders!$C:$C,A42)</f>
        <v>44439</v>
      </c>
      <c r="D42" s="14">
        <f t="shared" si="0"/>
        <v>354</v>
      </c>
      <c r="E42" s="14">
        <f>COUNTIFS(orders!$C:$C,A42)</f>
        <v>1</v>
      </c>
      <c r="F42" s="16">
        <f>SUMIFS(orders!$M:$M,orders!$C:$C,A42)</f>
        <v>22.5</v>
      </c>
      <c r="G42" s="14" t="str">
        <f>INDEX(orders!$P:$P,MATCH(A42,orders!$C:$C,0))</f>
        <v>Yes</v>
      </c>
      <c r="H42" s="17">
        <f t="shared" si="1"/>
        <v>4</v>
      </c>
      <c r="I42" s="14">
        <f t="shared" si="2"/>
        <v>1</v>
      </c>
      <c r="J42">
        <f t="shared" si="3"/>
        <v>2</v>
      </c>
      <c r="K42" s="14">
        <f t="shared" si="4"/>
        <v>7</v>
      </c>
      <c r="L42" t="str">
        <f t="shared" si="5"/>
        <v>Standard One-Time Buyers</v>
      </c>
    </row>
    <row r="43" spans="1:12" x14ac:dyDescent="0.3">
      <c r="A43" s="12" t="s">
        <v>1471</v>
      </c>
      <c r="B43" s="14" t="str">
        <f>INDEX(orders!$F:$F,MATCH(A43,orders!$C:$C,0))</f>
        <v>Elysee Sketch</v>
      </c>
      <c r="C43" s="15">
        <f>_xlfn.MAXIFS(orders!$B:$B,orders!$C:$C,A43)</f>
        <v>43813</v>
      </c>
      <c r="D43" s="14">
        <f t="shared" si="0"/>
        <v>980</v>
      </c>
      <c r="E43" s="14">
        <f>COUNTIFS(orders!$C:$C,A43)</f>
        <v>1</v>
      </c>
      <c r="F43" s="16">
        <f>SUMIFS(orders!$M:$M,orders!$C:$C,A43)</f>
        <v>204.92999999999995</v>
      </c>
      <c r="G43" s="14" t="str">
        <f>INDEX(orders!$P:$P,MATCH(A43,orders!$C:$C,0))</f>
        <v>Yes</v>
      </c>
      <c r="H43" s="17">
        <f t="shared" si="1"/>
        <v>2</v>
      </c>
      <c r="I43" s="14">
        <f t="shared" si="2"/>
        <v>1</v>
      </c>
      <c r="J43">
        <f t="shared" si="3"/>
        <v>5</v>
      </c>
      <c r="K43" s="14">
        <f t="shared" si="4"/>
        <v>8</v>
      </c>
      <c r="L43" t="str">
        <f t="shared" si="5"/>
        <v>Lapsed One-Time Buyers</v>
      </c>
    </row>
    <row r="44" spans="1:12" x14ac:dyDescent="0.3">
      <c r="A44" s="12" t="s">
        <v>4298</v>
      </c>
      <c r="B44" s="14" t="str">
        <f>INDEX(orders!$F:$F,MATCH(A44,orders!$C:$C,0))</f>
        <v>Hermann Larvor</v>
      </c>
      <c r="C44" s="15">
        <f>_xlfn.MAXIFS(orders!$B:$B,orders!$C:$C,A44)</f>
        <v>44543</v>
      </c>
      <c r="D44" s="14">
        <f t="shared" si="0"/>
        <v>250</v>
      </c>
      <c r="E44" s="14">
        <f>COUNTIFS(orders!$C:$C,A44)</f>
        <v>1</v>
      </c>
      <c r="F44" s="16">
        <f>SUMIFS(orders!$M:$M,orders!$C:$C,A44)</f>
        <v>178.70999999999998</v>
      </c>
      <c r="G44" s="14" t="str">
        <f>INDEX(orders!$P:$P,MATCH(A44,orders!$C:$C,0))</f>
        <v>Yes</v>
      </c>
      <c r="H44" s="17">
        <f t="shared" si="1"/>
        <v>5</v>
      </c>
      <c r="I44" s="14">
        <f t="shared" si="2"/>
        <v>1</v>
      </c>
      <c r="J44">
        <f t="shared" si="3"/>
        <v>5</v>
      </c>
      <c r="K44" s="14">
        <f t="shared" si="4"/>
        <v>11</v>
      </c>
      <c r="L44" t="str">
        <f t="shared" si="5"/>
        <v>Recent High-Value (One-Time)</v>
      </c>
    </row>
    <row r="45" spans="1:12" x14ac:dyDescent="0.3">
      <c r="A45" s="12" t="s">
        <v>3840</v>
      </c>
      <c r="B45" s="14" t="str">
        <f>INDEX(orders!$F:$F,MATCH(A45,orders!$C:$C,0))</f>
        <v>Cody Verissimo</v>
      </c>
      <c r="C45" s="15">
        <f>_xlfn.MAXIFS(orders!$B:$B,orders!$C:$C,A45)</f>
        <v>44505</v>
      </c>
      <c r="D45" s="14">
        <f t="shared" si="0"/>
        <v>288</v>
      </c>
      <c r="E45" s="14">
        <f>COUNTIFS(orders!$C:$C,A45)</f>
        <v>4</v>
      </c>
      <c r="F45" s="16">
        <f>SUMIFS(orders!$M:$M,orders!$C:$C,A45)</f>
        <v>183.66</v>
      </c>
      <c r="G45" s="14" t="str">
        <f>INDEX(orders!$P:$P,MATCH(A45,orders!$C:$C,0))</f>
        <v>Yes</v>
      </c>
      <c r="H45" s="17">
        <f t="shared" si="1"/>
        <v>4</v>
      </c>
      <c r="I45" s="14">
        <f t="shared" si="2"/>
        <v>5</v>
      </c>
      <c r="J45">
        <f t="shared" si="3"/>
        <v>5</v>
      </c>
      <c r="K45" s="14">
        <f t="shared" si="4"/>
        <v>14</v>
      </c>
      <c r="L45" t="str">
        <f t="shared" si="5"/>
        <v>Loyal Repeat Customers</v>
      </c>
    </row>
    <row r="46" spans="1:12" x14ac:dyDescent="0.3">
      <c r="A46" s="12" t="s">
        <v>818</v>
      </c>
      <c r="B46" s="14" t="str">
        <f>INDEX(orders!$F:$F,MATCH(A46,orders!$C:$C,0))</f>
        <v>Willa Rolling</v>
      </c>
      <c r="C46" s="15">
        <f>_xlfn.MAXIFS(orders!$B:$B,orders!$C:$C,A46)</f>
        <v>44624</v>
      </c>
      <c r="D46" s="14">
        <f t="shared" si="0"/>
        <v>169</v>
      </c>
      <c r="E46" s="14">
        <f>COUNTIFS(orders!$C:$C,A46)</f>
        <v>1</v>
      </c>
      <c r="F46" s="16">
        <f>SUMIFS(orders!$M:$M,orders!$C:$C,A46)</f>
        <v>89.35499999999999</v>
      </c>
      <c r="G46" s="14" t="str">
        <f>INDEX(orders!$P:$P,MATCH(A46,orders!$C:$C,0))</f>
        <v>Yes</v>
      </c>
      <c r="H46" s="17">
        <f t="shared" si="1"/>
        <v>5</v>
      </c>
      <c r="I46" s="14">
        <f t="shared" si="2"/>
        <v>1</v>
      </c>
      <c r="J46">
        <f t="shared" si="3"/>
        <v>5</v>
      </c>
      <c r="K46" s="14">
        <f t="shared" si="4"/>
        <v>11</v>
      </c>
      <c r="L46" t="str">
        <f t="shared" si="5"/>
        <v>Recent High-Value (One-Time)</v>
      </c>
    </row>
    <row r="47" spans="1:12" x14ac:dyDescent="0.3">
      <c r="A47" s="12" t="s">
        <v>1784</v>
      </c>
      <c r="B47" s="14" t="str">
        <f>INDEX(orders!$F:$F,MATCH(A47,orders!$C:$C,0))</f>
        <v>Kristos Streight</v>
      </c>
      <c r="C47" s="15">
        <f>_xlfn.MAXIFS(orders!$B:$B,orders!$C:$C,A47)</f>
        <v>44282</v>
      </c>
      <c r="D47" s="14">
        <f t="shared" si="0"/>
        <v>511</v>
      </c>
      <c r="E47" s="14">
        <f>COUNTIFS(orders!$C:$C,A47)</f>
        <v>1</v>
      </c>
      <c r="F47" s="16">
        <f>SUMIFS(orders!$M:$M,orders!$C:$C,A47)</f>
        <v>8.73</v>
      </c>
      <c r="G47" s="14" t="str">
        <f>INDEX(orders!$P:$P,MATCH(A47,orders!$C:$C,0))</f>
        <v>No</v>
      </c>
      <c r="H47" s="17">
        <f t="shared" si="1"/>
        <v>3</v>
      </c>
      <c r="I47" s="14">
        <f t="shared" si="2"/>
        <v>1</v>
      </c>
      <c r="J47">
        <f t="shared" si="3"/>
        <v>1</v>
      </c>
      <c r="K47" s="14">
        <f t="shared" si="4"/>
        <v>5</v>
      </c>
      <c r="L47" t="str">
        <f t="shared" si="5"/>
        <v>Standard One-Time Buyers</v>
      </c>
    </row>
    <row r="48" spans="1:12" x14ac:dyDescent="0.3">
      <c r="A48" s="12" t="s">
        <v>3464</v>
      </c>
      <c r="B48" s="14" t="str">
        <f>INDEX(orders!$F:$F,MATCH(A48,orders!$C:$C,0))</f>
        <v>Webb Speechly</v>
      </c>
      <c r="C48" s="15">
        <f>_xlfn.MAXIFS(orders!$B:$B,orders!$C:$C,A48)</f>
        <v>44717</v>
      </c>
      <c r="D48" s="14">
        <f t="shared" si="0"/>
        <v>76</v>
      </c>
      <c r="E48" s="14">
        <f>COUNTIFS(orders!$C:$C,A48)</f>
        <v>1</v>
      </c>
      <c r="F48" s="16">
        <f>SUMIFS(orders!$M:$M,orders!$C:$C,A48)</f>
        <v>126.49999999999999</v>
      </c>
      <c r="G48" s="14" t="str">
        <f>INDEX(orders!$P:$P,MATCH(A48,orders!$C:$C,0))</f>
        <v>Yes</v>
      </c>
      <c r="H48" s="17">
        <f t="shared" si="1"/>
        <v>5</v>
      </c>
      <c r="I48" s="14">
        <f t="shared" si="2"/>
        <v>1</v>
      </c>
      <c r="J48">
        <f t="shared" si="3"/>
        <v>5</v>
      </c>
      <c r="K48" s="14">
        <f t="shared" si="4"/>
        <v>11</v>
      </c>
      <c r="L48" t="str">
        <f t="shared" si="5"/>
        <v>Recent High-Value (One-Time)</v>
      </c>
    </row>
    <row r="49" spans="1:12" x14ac:dyDescent="0.3">
      <c r="A49" s="12" t="s">
        <v>6042</v>
      </c>
      <c r="B49" s="14" t="str">
        <f>INDEX(orders!$F:$F,MATCH(A49,orders!$C:$C,0))</f>
        <v>Kim Kemery</v>
      </c>
      <c r="C49" s="15">
        <f>_xlfn.MAXIFS(orders!$B:$B,orders!$C:$C,A49)</f>
        <v>44785</v>
      </c>
      <c r="D49" s="14">
        <f t="shared" si="0"/>
        <v>8</v>
      </c>
      <c r="E49" s="14">
        <f>COUNTIFS(orders!$C:$C,A49)</f>
        <v>1</v>
      </c>
      <c r="F49" s="16">
        <f>SUMIFS(orders!$M:$M,orders!$C:$C,A49)</f>
        <v>23.9</v>
      </c>
      <c r="G49" s="14" t="str">
        <f>INDEX(orders!$P:$P,MATCH(A49,orders!$C:$C,0))</f>
        <v>Yes</v>
      </c>
      <c r="H49" s="17">
        <f t="shared" si="1"/>
        <v>5</v>
      </c>
      <c r="I49" s="14">
        <f t="shared" si="2"/>
        <v>1</v>
      </c>
      <c r="J49">
        <f t="shared" si="3"/>
        <v>2</v>
      </c>
      <c r="K49" s="14">
        <f t="shared" si="4"/>
        <v>8</v>
      </c>
      <c r="L49" t="str">
        <f t="shared" si="5"/>
        <v>Standard One-Time Buyers</v>
      </c>
    </row>
    <row r="50" spans="1:12" x14ac:dyDescent="0.3">
      <c r="A50" s="12" t="s">
        <v>3494</v>
      </c>
      <c r="B50" s="14" t="str">
        <f>INDEX(orders!$F:$F,MATCH(A50,orders!$C:$C,0))</f>
        <v>Rana Sharer</v>
      </c>
      <c r="C50" s="15">
        <f>_xlfn.MAXIFS(orders!$B:$B,orders!$C:$C,A50)</f>
        <v>44591</v>
      </c>
      <c r="D50" s="14">
        <f t="shared" si="0"/>
        <v>202</v>
      </c>
      <c r="E50" s="14">
        <f>COUNTIFS(orders!$C:$C,A50)</f>
        <v>1</v>
      </c>
      <c r="F50" s="16">
        <f>SUMIFS(orders!$M:$M,orders!$C:$C,A50)</f>
        <v>44.75</v>
      </c>
      <c r="G50" s="14" t="str">
        <f>INDEX(orders!$P:$P,MATCH(A50,orders!$C:$C,0))</f>
        <v>No</v>
      </c>
      <c r="H50" s="17">
        <f t="shared" si="1"/>
        <v>5</v>
      </c>
      <c r="I50" s="14">
        <f t="shared" si="2"/>
        <v>1</v>
      </c>
      <c r="J50">
        <f t="shared" si="3"/>
        <v>4</v>
      </c>
      <c r="K50" s="14">
        <f t="shared" si="4"/>
        <v>10</v>
      </c>
      <c r="L50" t="str">
        <f t="shared" si="5"/>
        <v>Recent High-Value (One-Time)</v>
      </c>
    </row>
    <row r="51" spans="1:12" x14ac:dyDescent="0.3">
      <c r="A51" s="12" t="s">
        <v>2302</v>
      </c>
      <c r="B51" s="14" t="str">
        <f>INDEX(orders!$F:$F,MATCH(A51,orders!$C:$C,0))</f>
        <v>Gaile Goggin</v>
      </c>
      <c r="C51" s="15">
        <f>_xlfn.MAXIFS(orders!$B:$B,orders!$C:$C,A51)</f>
        <v>44170</v>
      </c>
      <c r="D51" s="14">
        <f t="shared" si="0"/>
        <v>623</v>
      </c>
      <c r="E51" s="14">
        <f>COUNTIFS(orders!$C:$C,A51)</f>
        <v>1</v>
      </c>
      <c r="F51" s="16">
        <f>SUMIFS(orders!$M:$M,orders!$C:$C,A51)</f>
        <v>20.25</v>
      </c>
      <c r="G51" s="14" t="str">
        <f>INDEX(orders!$P:$P,MATCH(A51,orders!$C:$C,0))</f>
        <v>Yes</v>
      </c>
      <c r="H51" s="17">
        <f t="shared" si="1"/>
        <v>3</v>
      </c>
      <c r="I51" s="14">
        <f t="shared" si="2"/>
        <v>1</v>
      </c>
      <c r="J51">
        <f t="shared" si="3"/>
        <v>2</v>
      </c>
      <c r="K51" s="14">
        <f t="shared" si="4"/>
        <v>6</v>
      </c>
      <c r="L51" t="str">
        <f t="shared" si="5"/>
        <v>Standard One-Time Buyers</v>
      </c>
    </row>
    <row r="52" spans="1:12" x14ac:dyDescent="0.3">
      <c r="A52" s="12" t="s">
        <v>3221</v>
      </c>
      <c r="B52" s="14" t="str">
        <f>INDEX(orders!$F:$F,MATCH(A52,orders!$C:$C,0))</f>
        <v>Orion Dyott</v>
      </c>
      <c r="C52" s="15">
        <f>_xlfn.MAXIFS(orders!$B:$B,orders!$C:$C,A52)</f>
        <v>43790</v>
      </c>
      <c r="D52" s="14">
        <f t="shared" si="0"/>
        <v>1003</v>
      </c>
      <c r="E52" s="14">
        <f>COUNTIFS(orders!$C:$C,A52)</f>
        <v>1</v>
      </c>
      <c r="F52" s="16">
        <f>SUMIFS(orders!$M:$M,orders!$C:$C,A52)</f>
        <v>59.569999999999993</v>
      </c>
      <c r="G52" s="14" t="str">
        <f>INDEX(orders!$P:$P,MATCH(A52,orders!$C:$C,0))</f>
        <v>Yes</v>
      </c>
      <c r="H52" s="17">
        <f t="shared" si="1"/>
        <v>2</v>
      </c>
      <c r="I52" s="14">
        <f t="shared" si="2"/>
        <v>1</v>
      </c>
      <c r="J52">
        <f t="shared" si="3"/>
        <v>4</v>
      </c>
      <c r="K52" s="14">
        <f t="shared" si="4"/>
        <v>7</v>
      </c>
      <c r="L52" t="str">
        <f t="shared" si="5"/>
        <v>Lapsed One-Time Buyers</v>
      </c>
    </row>
    <row r="53" spans="1:12" x14ac:dyDescent="0.3">
      <c r="A53" s="12" t="s">
        <v>3278</v>
      </c>
      <c r="B53" s="14" t="str">
        <f>INDEX(orders!$F:$F,MATCH(A53,orders!$C:$C,0))</f>
        <v>Sky Farnish</v>
      </c>
      <c r="C53" s="15">
        <f>_xlfn.MAXIFS(orders!$B:$B,orders!$C:$C,A53)</f>
        <v>44090</v>
      </c>
      <c r="D53" s="14">
        <f t="shared" si="0"/>
        <v>703</v>
      </c>
      <c r="E53" s="14">
        <f>COUNTIFS(orders!$C:$C,A53)</f>
        <v>1</v>
      </c>
      <c r="F53" s="16">
        <f>SUMIFS(orders!$M:$M,orders!$C:$C,A53)</f>
        <v>35.82</v>
      </c>
      <c r="G53" s="14" t="str">
        <f>INDEX(orders!$P:$P,MATCH(A53,orders!$C:$C,0))</f>
        <v>No</v>
      </c>
      <c r="H53" s="17">
        <f t="shared" si="1"/>
        <v>3</v>
      </c>
      <c r="I53" s="14">
        <f t="shared" si="2"/>
        <v>1</v>
      </c>
      <c r="J53">
        <f t="shared" si="3"/>
        <v>3</v>
      </c>
      <c r="K53" s="14">
        <f t="shared" si="4"/>
        <v>7</v>
      </c>
      <c r="L53" t="str">
        <f t="shared" si="5"/>
        <v>Standard One-Time Buyers</v>
      </c>
    </row>
    <row r="54" spans="1:12" x14ac:dyDescent="0.3">
      <c r="A54" s="12" t="s">
        <v>5633</v>
      </c>
      <c r="B54" s="14" t="str">
        <f>INDEX(orders!$F:$F,MATCH(A54,orders!$C:$C,0))</f>
        <v>Bobbe Renner</v>
      </c>
      <c r="C54" s="15">
        <f>_xlfn.MAXIFS(orders!$B:$B,orders!$C:$C,A54)</f>
        <v>44635</v>
      </c>
      <c r="D54" s="14">
        <f t="shared" si="0"/>
        <v>158</v>
      </c>
      <c r="E54" s="14">
        <f>COUNTIFS(orders!$C:$C,A54)</f>
        <v>1</v>
      </c>
      <c r="F54" s="16">
        <f>SUMIFS(orders!$M:$M,orders!$C:$C,A54)</f>
        <v>10.754999999999999</v>
      </c>
      <c r="G54" s="14" t="str">
        <f>INDEX(orders!$P:$P,MATCH(A54,orders!$C:$C,0))</f>
        <v>No</v>
      </c>
      <c r="H54" s="17">
        <f t="shared" si="1"/>
        <v>5</v>
      </c>
      <c r="I54" s="14">
        <f t="shared" si="2"/>
        <v>1</v>
      </c>
      <c r="J54">
        <f t="shared" si="3"/>
        <v>1</v>
      </c>
      <c r="K54" s="14">
        <f t="shared" si="4"/>
        <v>7</v>
      </c>
      <c r="L54" t="str">
        <f t="shared" si="5"/>
        <v>Standard One-Time Buyers</v>
      </c>
    </row>
    <row r="55" spans="1:12" x14ac:dyDescent="0.3">
      <c r="A55" s="12" t="s">
        <v>5962</v>
      </c>
      <c r="B55" s="14" t="str">
        <f>INDEX(orders!$F:$F,MATCH(A55,orders!$C:$C,0))</f>
        <v>Wiley Leopold</v>
      </c>
      <c r="C55" s="15">
        <f>_xlfn.MAXIFS(orders!$B:$B,orders!$C:$C,A55)</f>
        <v>44642</v>
      </c>
      <c r="D55" s="14">
        <f t="shared" si="0"/>
        <v>151</v>
      </c>
      <c r="E55" s="14">
        <f>COUNTIFS(orders!$C:$C,A55)</f>
        <v>1</v>
      </c>
      <c r="F55" s="16">
        <f>SUMIFS(orders!$M:$M,orders!$C:$C,A55)</f>
        <v>5.97</v>
      </c>
      <c r="G55" s="14" t="str">
        <f>INDEX(orders!$P:$P,MATCH(A55,orders!$C:$C,0))</f>
        <v>No</v>
      </c>
      <c r="H55" s="17">
        <f t="shared" si="1"/>
        <v>5</v>
      </c>
      <c r="I55" s="14">
        <f t="shared" si="2"/>
        <v>1</v>
      </c>
      <c r="J55">
        <f t="shared" si="3"/>
        <v>1</v>
      </c>
      <c r="K55" s="14">
        <f t="shared" si="4"/>
        <v>7</v>
      </c>
      <c r="L55" t="str">
        <f t="shared" si="5"/>
        <v>Standard One-Time Buyers</v>
      </c>
    </row>
    <row r="56" spans="1:12" x14ac:dyDescent="0.3">
      <c r="A56" s="12" t="s">
        <v>739</v>
      </c>
      <c r="B56" s="14" t="str">
        <f>INDEX(orders!$F:$F,MATCH(A56,orders!$C:$C,0))</f>
        <v>Olag Baudassi</v>
      </c>
      <c r="C56" s="15">
        <f>_xlfn.MAXIFS(orders!$B:$B,orders!$C:$C,A56)</f>
        <v>43932</v>
      </c>
      <c r="D56" s="14">
        <f t="shared" si="0"/>
        <v>861</v>
      </c>
      <c r="E56" s="14">
        <f>COUNTIFS(orders!$C:$C,A56)</f>
        <v>1</v>
      </c>
      <c r="F56" s="16">
        <f>SUMIFS(orders!$M:$M,orders!$C:$C,A56)</f>
        <v>16.5</v>
      </c>
      <c r="G56" s="14" t="str">
        <f>INDEX(orders!$P:$P,MATCH(A56,orders!$C:$C,0))</f>
        <v>Yes</v>
      </c>
      <c r="H56" s="17">
        <f t="shared" si="1"/>
        <v>2</v>
      </c>
      <c r="I56" s="14">
        <f t="shared" si="2"/>
        <v>1</v>
      </c>
      <c r="J56">
        <f t="shared" si="3"/>
        <v>2</v>
      </c>
      <c r="K56" s="14">
        <f t="shared" si="4"/>
        <v>5</v>
      </c>
      <c r="L56" t="str">
        <f t="shared" si="5"/>
        <v>Lapsed One-Time Buyers</v>
      </c>
    </row>
    <row r="57" spans="1:12" x14ac:dyDescent="0.3">
      <c r="A57" s="12" t="s">
        <v>2734</v>
      </c>
      <c r="B57" s="14" t="str">
        <f>INDEX(orders!$F:$F,MATCH(A57,orders!$C:$C,0))</f>
        <v>Gran Sibray</v>
      </c>
      <c r="C57" s="15">
        <f>_xlfn.MAXIFS(orders!$B:$B,orders!$C:$C,A57)</f>
        <v>43677</v>
      </c>
      <c r="D57" s="14">
        <f t="shared" si="0"/>
        <v>1116</v>
      </c>
      <c r="E57" s="14">
        <f>COUNTIFS(orders!$C:$C,A57)</f>
        <v>1</v>
      </c>
      <c r="F57" s="16">
        <f>SUMIFS(orders!$M:$M,orders!$C:$C,A57)</f>
        <v>17.91</v>
      </c>
      <c r="G57" s="14" t="str">
        <f>INDEX(orders!$P:$P,MATCH(A57,orders!$C:$C,0))</f>
        <v>Yes</v>
      </c>
      <c r="H57" s="17">
        <f t="shared" si="1"/>
        <v>1</v>
      </c>
      <c r="I57" s="14">
        <f t="shared" si="2"/>
        <v>1</v>
      </c>
      <c r="J57">
        <f t="shared" si="3"/>
        <v>2</v>
      </c>
      <c r="K57" s="14">
        <f t="shared" si="4"/>
        <v>4</v>
      </c>
      <c r="L57" t="str">
        <f t="shared" si="5"/>
        <v>Lapsed One-Time Buyers</v>
      </c>
    </row>
    <row r="58" spans="1:12" x14ac:dyDescent="0.3">
      <c r="A58" s="12" t="s">
        <v>1421</v>
      </c>
      <c r="B58" s="14" t="str">
        <f>INDEX(orders!$F:$F,MATCH(A58,orders!$C:$C,0))</f>
        <v>Mina Elstone</v>
      </c>
      <c r="C58" s="15">
        <f>_xlfn.MAXIFS(orders!$B:$B,orders!$C:$C,A58)</f>
        <v>44234</v>
      </c>
      <c r="D58" s="14">
        <f t="shared" si="0"/>
        <v>559</v>
      </c>
      <c r="E58" s="14">
        <f>COUNTIFS(orders!$C:$C,A58)</f>
        <v>1</v>
      </c>
      <c r="F58" s="16">
        <f>SUMIFS(orders!$M:$M,orders!$C:$C,A58)</f>
        <v>53.699999999999996</v>
      </c>
      <c r="G58" s="14" t="str">
        <f>INDEX(orders!$P:$P,MATCH(A58,orders!$C:$C,0))</f>
        <v>Yes</v>
      </c>
      <c r="H58" s="17">
        <f t="shared" si="1"/>
        <v>3</v>
      </c>
      <c r="I58" s="14">
        <f t="shared" si="2"/>
        <v>1</v>
      </c>
      <c r="J58">
        <f t="shared" si="3"/>
        <v>4</v>
      </c>
      <c r="K58" s="14">
        <f t="shared" si="4"/>
        <v>8</v>
      </c>
      <c r="L58" t="str">
        <f t="shared" si="5"/>
        <v>Standard One-Time Buyers</v>
      </c>
    </row>
    <row r="59" spans="1:12" x14ac:dyDescent="0.3">
      <c r="A59" s="12" t="s">
        <v>3301</v>
      </c>
      <c r="B59" s="14" t="str">
        <f>INDEX(orders!$F:$F,MATCH(A59,orders!$C:$C,0))</f>
        <v>Chantal Mersh</v>
      </c>
      <c r="C59" s="15">
        <f>_xlfn.MAXIFS(orders!$B:$B,orders!$C:$C,A59)</f>
        <v>44351</v>
      </c>
      <c r="D59" s="14">
        <f t="shared" si="0"/>
        <v>442</v>
      </c>
      <c r="E59" s="14">
        <f>COUNTIFS(orders!$C:$C,A59)</f>
        <v>1</v>
      </c>
      <c r="F59" s="16">
        <f>SUMIFS(orders!$M:$M,orders!$C:$C,A59)</f>
        <v>39.799999999999997</v>
      </c>
      <c r="G59" s="14" t="str">
        <f>INDEX(orders!$P:$P,MATCH(A59,orders!$C:$C,0))</f>
        <v>No</v>
      </c>
      <c r="H59" s="17">
        <f t="shared" si="1"/>
        <v>4</v>
      </c>
      <c r="I59" s="14">
        <f t="shared" si="2"/>
        <v>1</v>
      </c>
      <c r="J59">
        <f t="shared" si="3"/>
        <v>3</v>
      </c>
      <c r="K59" s="14">
        <f t="shared" si="4"/>
        <v>8</v>
      </c>
      <c r="L59" t="str">
        <f t="shared" si="5"/>
        <v>Standard One-Time Buyers</v>
      </c>
    </row>
    <row r="60" spans="1:12" x14ac:dyDescent="0.3">
      <c r="A60" s="12" t="s">
        <v>1096</v>
      </c>
      <c r="B60" s="14" t="str">
        <f>INDEX(orders!$F:$F,MATCH(A60,orders!$C:$C,0))</f>
        <v>Isahella Hagland</v>
      </c>
      <c r="C60" s="15">
        <f>_xlfn.MAXIFS(orders!$B:$B,orders!$C:$C,A60)</f>
        <v>44041</v>
      </c>
      <c r="D60" s="14">
        <f t="shared" si="0"/>
        <v>752</v>
      </c>
      <c r="E60" s="14">
        <f>COUNTIFS(orders!$C:$C,A60)</f>
        <v>1</v>
      </c>
      <c r="F60" s="16">
        <f>SUMIFS(orders!$M:$M,orders!$C:$C,A60)</f>
        <v>27</v>
      </c>
      <c r="G60" s="14" t="str">
        <f>INDEX(orders!$P:$P,MATCH(A60,orders!$C:$C,0))</f>
        <v>No</v>
      </c>
      <c r="H60" s="17">
        <f t="shared" si="1"/>
        <v>3</v>
      </c>
      <c r="I60" s="14">
        <f t="shared" si="2"/>
        <v>1</v>
      </c>
      <c r="J60">
        <f t="shared" si="3"/>
        <v>3</v>
      </c>
      <c r="K60" s="14">
        <f t="shared" si="4"/>
        <v>7</v>
      </c>
      <c r="L60" t="str">
        <f t="shared" si="5"/>
        <v>Standard One-Time Buyers</v>
      </c>
    </row>
    <row r="61" spans="1:12" x14ac:dyDescent="0.3">
      <c r="A61" s="12" t="s">
        <v>2441</v>
      </c>
      <c r="B61" s="14" t="str">
        <f>INDEX(orders!$F:$F,MATCH(A61,orders!$C:$C,0))</f>
        <v>Rebeka Worg</v>
      </c>
      <c r="C61" s="15">
        <f>_xlfn.MAXIFS(orders!$B:$B,orders!$C:$C,A61)</f>
        <v>44344</v>
      </c>
      <c r="D61" s="14">
        <f t="shared" si="0"/>
        <v>449</v>
      </c>
      <c r="E61" s="14">
        <f>COUNTIFS(orders!$C:$C,A61)</f>
        <v>1</v>
      </c>
      <c r="F61" s="16">
        <f>SUMIFS(orders!$M:$M,orders!$C:$C,A61)</f>
        <v>23.31</v>
      </c>
      <c r="G61" s="14" t="str">
        <f>INDEX(orders!$P:$P,MATCH(A61,orders!$C:$C,0))</f>
        <v>Yes</v>
      </c>
      <c r="H61" s="17">
        <f t="shared" si="1"/>
        <v>4</v>
      </c>
      <c r="I61" s="14">
        <f t="shared" si="2"/>
        <v>1</v>
      </c>
      <c r="J61">
        <f t="shared" si="3"/>
        <v>2</v>
      </c>
      <c r="K61" s="14">
        <f t="shared" si="4"/>
        <v>7</v>
      </c>
      <c r="L61" t="str">
        <f t="shared" si="5"/>
        <v>Standard One-Time Buyers</v>
      </c>
    </row>
    <row r="62" spans="1:12" x14ac:dyDescent="0.3">
      <c r="A62" s="12" t="s">
        <v>5490</v>
      </c>
      <c r="B62" s="14" t="str">
        <f>INDEX(orders!$F:$F,MATCH(A62,orders!$C:$C,0))</f>
        <v>Delainey Kiddy</v>
      </c>
      <c r="C62" s="15">
        <f>_xlfn.MAXIFS(orders!$B:$B,orders!$C:$C,A62)</f>
        <v>43941</v>
      </c>
      <c r="D62" s="14">
        <f t="shared" si="0"/>
        <v>852</v>
      </c>
      <c r="E62" s="14">
        <f>COUNTIFS(orders!$C:$C,A62)</f>
        <v>1</v>
      </c>
      <c r="F62" s="16">
        <f>SUMIFS(orders!$M:$M,orders!$C:$C,A62)</f>
        <v>5.3699999999999992</v>
      </c>
      <c r="G62" s="14" t="str">
        <f>INDEX(orders!$P:$P,MATCH(A62,orders!$C:$C,0))</f>
        <v>Yes</v>
      </c>
      <c r="H62" s="17">
        <f t="shared" si="1"/>
        <v>2</v>
      </c>
      <c r="I62" s="14">
        <f t="shared" si="2"/>
        <v>1</v>
      </c>
      <c r="J62">
        <f t="shared" si="3"/>
        <v>1</v>
      </c>
      <c r="K62" s="14">
        <f t="shared" si="4"/>
        <v>4</v>
      </c>
      <c r="L62" t="str">
        <f t="shared" si="5"/>
        <v>Lapsed One-Time Buyers</v>
      </c>
    </row>
    <row r="63" spans="1:12" x14ac:dyDescent="0.3">
      <c r="A63" s="12" t="s">
        <v>1118</v>
      </c>
      <c r="B63" s="14" t="str">
        <f>INDEX(orders!$F:$F,MATCH(A63,orders!$C:$C,0))</f>
        <v>Shawnee Critchlow</v>
      </c>
      <c r="C63" s="15">
        <f>_xlfn.MAXIFS(orders!$B:$B,orders!$C:$C,A63)</f>
        <v>44481</v>
      </c>
      <c r="D63" s="14">
        <f t="shared" si="0"/>
        <v>312</v>
      </c>
      <c r="E63" s="14">
        <f>COUNTIFS(orders!$C:$C,A63)</f>
        <v>1</v>
      </c>
      <c r="F63" s="16">
        <f>SUMIFS(orders!$M:$M,orders!$C:$C,A63)</f>
        <v>11.25</v>
      </c>
      <c r="G63" s="14" t="str">
        <f>INDEX(orders!$P:$P,MATCH(A63,orders!$C:$C,0))</f>
        <v>No</v>
      </c>
      <c r="H63" s="17">
        <f t="shared" si="1"/>
        <v>4</v>
      </c>
      <c r="I63" s="14">
        <f t="shared" si="2"/>
        <v>1</v>
      </c>
      <c r="J63">
        <f t="shared" si="3"/>
        <v>1</v>
      </c>
      <c r="K63" s="14">
        <f t="shared" si="4"/>
        <v>6</v>
      </c>
      <c r="L63" t="str">
        <f t="shared" si="5"/>
        <v>Standard One-Time Buyers</v>
      </c>
    </row>
    <row r="64" spans="1:12" x14ac:dyDescent="0.3">
      <c r="A64" s="12" t="s">
        <v>3566</v>
      </c>
      <c r="B64" s="14" t="str">
        <f>INDEX(orders!$F:$F,MATCH(A64,orders!$C:$C,0))</f>
        <v>Heda Fromant</v>
      </c>
      <c r="C64" s="15">
        <f>_xlfn.MAXIFS(orders!$B:$B,orders!$C:$C,A64)</f>
        <v>43869</v>
      </c>
      <c r="D64" s="14">
        <f t="shared" si="0"/>
        <v>924</v>
      </c>
      <c r="E64" s="14">
        <f>COUNTIFS(orders!$C:$C,A64)</f>
        <v>1</v>
      </c>
      <c r="F64" s="16">
        <f>SUMIFS(orders!$M:$M,orders!$C:$C,A64)</f>
        <v>15.54</v>
      </c>
      <c r="G64" s="14" t="str">
        <f>INDEX(orders!$P:$P,MATCH(A64,orders!$C:$C,0))</f>
        <v>No</v>
      </c>
      <c r="H64" s="17">
        <f t="shared" si="1"/>
        <v>2</v>
      </c>
      <c r="I64" s="14">
        <f t="shared" si="2"/>
        <v>1</v>
      </c>
      <c r="J64">
        <f t="shared" si="3"/>
        <v>2</v>
      </c>
      <c r="K64" s="14">
        <f t="shared" si="4"/>
        <v>5</v>
      </c>
      <c r="L64" t="str">
        <f t="shared" si="5"/>
        <v>Lapsed One-Time Buyers</v>
      </c>
    </row>
    <row r="65" spans="1:12" x14ac:dyDescent="0.3">
      <c r="A65" s="12" t="s">
        <v>633</v>
      </c>
      <c r="B65" s="14" t="str">
        <f>INDEX(orders!$F:$F,MATCH(A65,orders!$C:$C,0))</f>
        <v>Culley Farris</v>
      </c>
      <c r="C65" s="15">
        <f>_xlfn.MAXIFS(orders!$B:$B,orders!$C:$C,A65)</f>
        <v>44128</v>
      </c>
      <c r="D65" s="14">
        <f t="shared" si="0"/>
        <v>665</v>
      </c>
      <c r="E65" s="14">
        <f>COUNTIFS(orders!$C:$C,A65)</f>
        <v>1</v>
      </c>
      <c r="F65" s="16">
        <f>SUMIFS(orders!$M:$M,orders!$C:$C,A65)</f>
        <v>12.375</v>
      </c>
      <c r="G65" s="14" t="str">
        <f>INDEX(orders!$P:$P,MATCH(A65,orders!$C:$C,0))</f>
        <v>Yes</v>
      </c>
      <c r="H65" s="17">
        <f t="shared" si="1"/>
        <v>3</v>
      </c>
      <c r="I65" s="14">
        <f t="shared" si="2"/>
        <v>1</v>
      </c>
      <c r="J65">
        <f t="shared" si="3"/>
        <v>1</v>
      </c>
      <c r="K65" s="14">
        <f t="shared" si="4"/>
        <v>5</v>
      </c>
      <c r="L65" t="str">
        <f t="shared" si="5"/>
        <v>Standard One-Time Buyers</v>
      </c>
    </row>
    <row r="66" spans="1:12" x14ac:dyDescent="0.3">
      <c r="A66" s="12" t="s">
        <v>6008</v>
      </c>
      <c r="B66" s="14" t="str">
        <f>INDEX(orders!$F:$F,MATCH(A66,orders!$C:$C,0))</f>
        <v>Kacy Canto</v>
      </c>
      <c r="C66" s="15">
        <f>_xlfn.MAXIFS(orders!$B:$B,orders!$C:$C,A66)</f>
        <v>43643</v>
      </c>
      <c r="D66" s="14">
        <f t="shared" si="0"/>
        <v>1150</v>
      </c>
      <c r="E66" s="14">
        <f>COUNTIFS(orders!$C:$C,A66)</f>
        <v>1</v>
      </c>
      <c r="F66" s="16">
        <f>SUMIFS(orders!$M:$M,orders!$C:$C,A66)</f>
        <v>137.42499999999998</v>
      </c>
      <c r="G66" s="14" t="str">
        <f>INDEX(orders!$P:$P,MATCH(A66,orders!$C:$C,0))</f>
        <v>Yes</v>
      </c>
      <c r="H66" s="17">
        <f t="shared" si="1"/>
        <v>1</v>
      </c>
      <c r="I66" s="14">
        <f t="shared" si="2"/>
        <v>1</v>
      </c>
      <c r="J66">
        <f t="shared" si="3"/>
        <v>5</v>
      </c>
      <c r="K66" s="14">
        <f t="shared" si="4"/>
        <v>7</v>
      </c>
      <c r="L66" t="str">
        <f t="shared" si="5"/>
        <v>Lapsed One-Time Buyers</v>
      </c>
    </row>
    <row r="67" spans="1:12" x14ac:dyDescent="0.3">
      <c r="A67" s="12" t="s">
        <v>1947</v>
      </c>
      <c r="B67" s="14" t="str">
        <f>INDEX(orders!$F:$F,MATCH(A67,orders!$C:$C,0))</f>
        <v>Cobby Cromwell</v>
      </c>
      <c r="C67" s="15">
        <f>_xlfn.MAXIFS(orders!$B:$B,orders!$C:$C,A67)</f>
        <v>44513</v>
      </c>
      <c r="D67" s="14">
        <f t="shared" si="0"/>
        <v>280</v>
      </c>
      <c r="E67" s="14">
        <f>COUNTIFS(orders!$C:$C,A67)</f>
        <v>1</v>
      </c>
      <c r="F67" s="16">
        <f>SUMIFS(orders!$M:$M,orders!$C:$C,A67)</f>
        <v>139.72499999999999</v>
      </c>
      <c r="G67" s="14" t="str">
        <f>INDEX(orders!$P:$P,MATCH(A67,orders!$C:$C,0))</f>
        <v>No</v>
      </c>
      <c r="H67" s="17">
        <f t="shared" si="1"/>
        <v>4</v>
      </c>
      <c r="I67" s="14">
        <f t="shared" si="2"/>
        <v>1</v>
      </c>
      <c r="J67">
        <f t="shared" si="3"/>
        <v>5</v>
      </c>
      <c r="K67" s="14">
        <f t="shared" si="4"/>
        <v>10</v>
      </c>
      <c r="L67" t="str">
        <f t="shared" si="5"/>
        <v>Recent High-Value (One-Time)</v>
      </c>
    </row>
    <row r="68" spans="1:12" x14ac:dyDescent="0.3">
      <c r="A68" s="12" t="s">
        <v>1999</v>
      </c>
      <c r="B68" s="14" t="str">
        <f>INDEX(orders!$F:$F,MATCH(A68,orders!$C:$C,0))</f>
        <v>Silvana Northeast</v>
      </c>
      <c r="C68" s="15">
        <f>_xlfn.MAXIFS(orders!$B:$B,orders!$C:$C,A68)</f>
        <v>44324</v>
      </c>
      <c r="D68" s="14">
        <f t="shared" si="0"/>
        <v>469</v>
      </c>
      <c r="E68" s="14">
        <f>COUNTIFS(orders!$C:$C,A68)</f>
        <v>1</v>
      </c>
      <c r="F68" s="16">
        <f>SUMIFS(orders!$M:$M,orders!$C:$C,A68)</f>
        <v>21.87</v>
      </c>
      <c r="G68" s="14" t="str">
        <f>INDEX(orders!$P:$P,MATCH(A68,orders!$C:$C,0))</f>
        <v>Yes</v>
      </c>
      <c r="H68" s="17">
        <f t="shared" si="1"/>
        <v>4</v>
      </c>
      <c r="I68" s="14">
        <f t="shared" si="2"/>
        <v>1</v>
      </c>
      <c r="J68">
        <f t="shared" si="3"/>
        <v>2</v>
      </c>
      <c r="K68" s="14">
        <f t="shared" si="4"/>
        <v>7</v>
      </c>
      <c r="L68" t="str">
        <f t="shared" si="5"/>
        <v>Standard One-Time Buyers</v>
      </c>
    </row>
    <row r="69" spans="1:12" x14ac:dyDescent="0.3">
      <c r="A69" s="12" t="s">
        <v>1272</v>
      </c>
      <c r="B69" s="14" t="str">
        <f>INDEX(orders!$F:$F,MATCH(A69,orders!$C:$C,0))</f>
        <v>Rivy Farington</v>
      </c>
      <c r="C69" s="15">
        <f>_xlfn.MAXIFS(orders!$B:$B,orders!$C:$C,A69)</f>
        <v>43509</v>
      </c>
      <c r="D69" s="14">
        <f t="shared" si="0"/>
        <v>1284</v>
      </c>
      <c r="E69" s="14">
        <f>COUNTIFS(orders!$C:$C,A69)</f>
        <v>1</v>
      </c>
      <c r="F69" s="16">
        <f>SUMIFS(orders!$M:$M,orders!$C:$C,A69)</f>
        <v>77.699999999999989</v>
      </c>
      <c r="G69" s="14" t="str">
        <f>INDEX(orders!$P:$P,MATCH(A69,orders!$C:$C,0))</f>
        <v>Yes</v>
      </c>
      <c r="H69" s="17">
        <f t="shared" si="1"/>
        <v>1</v>
      </c>
      <c r="I69" s="14">
        <f t="shared" si="2"/>
        <v>1</v>
      </c>
      <c r="J69">
        <f t="shared" si="3"/>
        <v>4</v>
      </c>
      <c r="K69" s="14">
        <f t="shared" si="4"/>
        <v>6</v>
      </c>
      <c r="L69" t="str">
        <f t="shared" si="5"/>
        <v>Lapsed One-Time Buyers</v>
      </c>
    </row>
    <row r="70" spans="1:12" x14ac:dyDescent="0.3">
      <c r="A70" s="12" t="s">
        <v>5159</v>
      </c>
      <c r="B70" s="14" t="str">
        <f>INDEX(orders!$F:$F,MATCH(A70,orders!$C:$C,0))</f>
        <v>Kandy Heddan</v>
      </c>
      <c r="C70" s="15">
        <f>_xlfn.MAXIFS(orders!$B:$B,orders!$C:$C,A70)</f>
        <v>44283</v>
      </c>
      <c r="D70" s="14">
        <f t="shared" ref="D70:D133" si="7">$B$1-C70</f>
        <v>510</v>
      </c>
      <c r="E70" s="14">
        <f>COUNTIFS(orders!$C:$C,A70)</f>
        <v>1</v>
      </c>
      <c r="F70" s="16">
        <f>SUMIFS(orders!$M:$M,orders!$C:$C,A70)</f>
        <v>41.25</v>
      </c>
      <c r="G70" s="14" t="str">
        <f>INDEX(orders!$P:$P,MATCH(A70,orders!$C:$C,0))</f>
        <v>Yes</v>
      </c>
      <c r="H70" s="17">
        <f t="shared" ref="H70:H133" si="8">IF(D70&lt;=$E$1,5,IF(D70&lt;=$F$1,4,IF(D70&lt;=$G$1,3,IF(D70&lt;=$H$1,2,1))))</f>
        <v>3</v>
      </c>
      <c r="I70" s="14">
        <f t="shared" ref="I70:I133" si="9">IF(E70&lt;=1,1,IF(E70&lt;=2,3,5))</f>
        <v>1</v>
      </c>
      <c r="J70">
        <f t="shared" ref="J70:J133" si="10">IF(F70&lt;=PERCENTILE($F$5:$F$917,0.2),1,IF(F70&lt;=PERCENTILE($F$5:$F$917,0.4),2,IF(F70&lt;=PERCENTILE($F$5:$F$917,0.6),3,IF(F70&lt;=PERCENTILE($F$5:$F$917,0.8),4,5))))</f>
        <v>3</v>
      </c>
      <c r="K70" s="14">
        <f t="shared" ref="K70:K133" si="11">H70+I70+J70</f>
        <v>7</v>
      </c>
      <c r="L70" t="str">
        <f t="shared" ref="L70:L133" si="12">IF(AND(E70&gt;=2,H70&gt;=4),"Loyal Repeat Customers",IF(E70&gt;=2,"At-Risk Repeat Customers",IF(AND(H70&gt;=4,J70&gt;=4),"Recent High-Value (One-Time)",IF(H70&lt;=2,"Lapsed One-Time Buyers","Standard One-Time Buyers"))))</f>
        <v>Standard One-Time Buyers</v>
      </c>
    </row>
    <row r="71" spans="1:12" x14ac:dyDescent="0.3">
      <c r="A71" s="12" t="s">
        <v>5103</v>
      </c>
      <c r="B71" s="14" t="str">
        <f>INDEX(orders!$F:$F,MATCH(A71,orders!$C:$C,0))</f>
        <v>Marvin Gundry</v>
      </c>
      <c r="C71" s="15">
        <f>_xlfn.MAXIFS(orders!$B:$B,orders!$C:$C,A71)</f>
        <v>43534</v>
      </c>
      <c r="D71" s="14">
        <f t="shared" si="7"/>
        <v>1259</v>
      </c>
      <c r="E71" s="14">
        <f>COUNTIFS(orders!$C:$C,A71)</f>
        <v>1</v>
      </c>
      <c r="F71" s="16">
        <f>SUMIFS(orders!$M:$M,orders!$C:$C,A71)</f>
        <v>38.04</v>
      </c>
      <c r="G71" s="14" t="str">
        <f>INDEX(orders!$P:$P,MATCH(A71,orders!$C:$C,0))</f>
        <v>No</v>
      </c>
      <c r="H71" s="17">
        <f t="shared" si="8"/>
        <v>1</v>
      </c>
      <c r="I71" s="14">
        <f t="shared" si="9"/>
        <v>1</v>
      </c>
      <c r="J71">
        <f t="shared" si="10"/>
        <v>3</v>
      </c>
      <c r="K71" s="14">
        <f t="shared" si="11"/>
        <v>5</v>
      </c>
      <c r="L71" t="str">
        <f t="shared" si="12"/>
        <v>Lapsed One-Time Buyers</v>
      </c>
    </row>
    <row r="72" spans="1:12" x14ac:dyDescent="0.3">
      <c r="A72" s="12" t="s">
        <v>2993</v>
      </c>
      <c r="B72" s="14" t="str">
        <f>INDEX(orders!$F:$F,MATCH(A72,orders!$C:$C,0))</f>
        <v>Rasia Jacquemard</v>
      </c>
      <c r="C72" s="15">
        <f>_xlfn.MAXIFS(orders!$B:$B,orders!$C:$C,A72)</f>
        <v>44418</v>
      </c>
      <c r="D72" s="14">
        <f t="shared" si="7"/>
        <v>375</v>
      </c>
      <c r="E72" s="14">
        <f>COUNTIFS(orders!$C:$C,A72)</f>
        <v>1</v>
      </c>
      <c r="F72" s="16">
        <f>SUMIFS(orders!$M:$M,orders!$C:$C,A72)</f>
        <v>24.75</v>
      </c>
      <c r="G72" s="14" t="str">
        <f>INDEX(orders!$P:$P,MATCH(A72,orders!$C:$C,0))</f>
        <v>No</v>
      </c>
      <c r="H72" s="17">
        <f t="shared" si="8"/>
        <v>4</v>
      </c>
      <c r="I72" s="14">
        <f t="shared" si="9"/>
        <v>1</v>
      </c>
      <c r="J72">
        <f t="shared" si="10"/>
        <v>2</v>
      </c>
      <c r="K72" s="14">
        <f t="shared" si="11"/>
        <v>7</v>
      </c>
      <c r="L72" t="str">
        <f t="shared" si="12"/>
        <v>Standard One-Time Buyers</v>
      </c>
    </row>
    <row r="73" spans="1:12" x14ac:dyDescent="0.3">
      <c r="A73" s="12" t="s">
        <v>721</v>
      </c>
      <c r="B73" s="14" t="str">
        <f>INDEX(orders!$F:$F,MATCH(A73,orders!$C:$C,0))</f>
        <v>Lorenzo Yeoland</v>
      </c>
      <c r="C73" s="15">
        <f>_xlfn.MAXIFS(orders!$B:$B,orders!$C:$C,A73)</f>
        <v>44749</v>
      </c>
      <c r="D73" s="14">
        <f t="shared" si="7"/>
        <v>44</v>
      </c>
      <c r="E73" s="14">
        <f>COUNTIFS(orders!$C:$C,A73)</f>
        <v>1</v>
      </c>
      <c r="F73" s="16">
        <f>SUMIFS(orders!$M:$M,orders!$C:$C,A73)</f>
        <v>7.29</v>
      </c>
      <c r="G73" s="14" t="str">
        <f>INDEX(orders!$P:$P,MATCH(A73,orders!$C:$C,0))</f>
        <v>Yes</v>
      </c>
      <c r="H73" s="17">
        <f t="shared" si="8"/>
        <v>5</v>
      </c>
      <c r="I73" s="14">
        <f t="shared" si="9"/>
        <v>1</v>
      </c>
      <c r="J73">
        <f t="shared" si="10"/>
        <v>1</v>
      </c>
      <c r="K73" s="14">
        <f t="shared" si="11"/>
        <v>7</v>
      </c>
      <c r="L73" t="str">
        <f t="shared" si="12"/>
        <v>Standard One-Time Buyers</v>
      </c>
    </row>
    <row r="74" spans="1:12" x14ac:dyDescent="0.3">
      <c r="A74" s="12" t="s">
        <v>1867</v>
      </c>
      <c r="B74" s="14" t="str">
        <f>INDEX(orders!$F:$F,MATCH(A74,orders!$C:$C,0))</f>
        <v>Effie Yurkov</v>
      </c>
      <c r="C74" s="15">
        <f>_xlfn.MAXIFS(orders!$B:$B,orders!$C:$C,A74)</f>
        <v>44702</v>
      </c>
      <c r="D74" s="14">
        <f t="shared" si="7"/>
        <v>91</v>
      </c>
      <c r="E74" s="14">
        <f>COUNTIFS(orders!$C:$C,A74)</f>
        <v>1</v>
      </c>
      <c r="F74" s="16">
        <f>SUMIFS(orders!$M:$M,orders!$C:$C,A74)</f>
        <v>133.85999999999999</v>
      </c>
      <c r="G74" s="14" t="str">
        <f>INDEX(orders!$P:$P,MATCH(A74,orders!$C:$C,0))</f>
        <v>No</v>
      </c>
      <c r="H74" s="17">
        <f t="shared" si="8"/>
        <v>5</v>
      </c>
      <c r="I74" s="14">
        <f t="shared" si="9"/>
        <v>1</v>
      </c>
      <c r="J74">
        <f t="shared" si="10"/>
        <v>5</v>
      </c>
      <c r="K74" s="14">
        <f t="shared" si="11"/>
        <v>11</v>
      </c>
      <c r="L74" t="str">
        <f t="shared" si="12"/>
        <v>Recent High-Value (One-Time)</v>
      </c>
    </row>
    <row r="75" spans="1:12" x14ac:dyDescent="0.3">
      <c r="A75" s="12" t="s">
        <v>6048</v>
      </c>
      <c r="B75" s="14" t="str">
        <f>INDEX(orders!$F:$F,MATCH(A75,orders!$C:$C,0))</f>
        <v>Fanchette Parlot</v>
      </c>
      <c r="C75" s="15">
        <f>_xlfn.MAXIFS(orders!$B:$B,orders!$C:$C,A75)</f>
        <v>43831</v>
      </c>
      <c r="D75" s="14">
        <f t="shared" si="7"/>
        <v>962</v>
      </c>
      <c r="E75" s="14">
        <f>COUNTIFS(orders!$C:$C,A75)</f>
        <v>1</v>
      </c>
      <c r="F75" s="16">
        <f>SUMIFS(orders!$M:$M,orders!$C:$C,A75)</f>
        <v>6.75</v>
      </c>
      <c r="G75" s="14" t="str">
        <f>INDEX(orders!$P:$P,MATCH(A75,orders!$C:$C,0))</f>
        <v>Yes</v>
      </c>
      <c r="H75" s="17">
        <f t="shared" si="8"/>
        <v>2</v>
      </c>
      <c r="I75" s="14">
        <f t="shared" si="9"/>
        <v>1</v>
      </c>
      <c r="J75">
        <f t="shared" si="10"/>
        <v>1</v>
      </c>
      <c r="K75" s="14">
        <f t="shared" si="11"/>
        <v>4</v>
      </c>
      <c r="L75" t="str">
        <f t="shared" si="12"/>
        <v>Lapsed One-Time Buyers</v>
      </c>
    </row>
    <row r="76" spans="1:12" x14ac:dyDescent="0.3">
      <c r="A76" s="12" t="s">
        <v>4815</v>
      </c>
      <c r="B76" s="14" t="str">
        <f>INDEX(orders!$F:$F,MATCH(A76,orders!$C:$C,0))</f>
        <v>Rafferty Pursglove</v>
      </c>
      <c r="C76" s="15">
        <f>_xlfn.MAXIFS(orders!$B:$B,orders!$C:$C,A76)</f>
        <v>43667</v>
      </c>
      <c r="D76" s="14">
        <f t="shared" si="7"/>
        <v>1126</v>
      </c>
      <c r="E76" s="14">
        <f>COUNTIFS(orders!$C:$C,A76)</f>
        <v>2</v>
      </c>
      <c r="F76" s="16">
        <f>SUMIFS(orders!$M:$M,orders!$C:$C,A76)</f>
        <v>75.239999999999995</v>
      </c>
      <c r="G76" s="14" t="str">
        <f>INDEX(orders!$P:$P,MATCH(A76,orders!$C:$C,0))</f>
        <v>Yes</v>
      </c>
      <c r="H76" s="17">
        <f t="shared" si="8"/>
        <v>1</v>
      </c>
      <c r="I76" s="14">
        <f t="shared" si="9"/>
        <v>3</v>
      </c>
      <c r="J76">
        <f t="shared" si="10"/>
        <v>4</v>
      </c>
      <c r="K76" s="14">
        <f t="shared" si="11"/>
        <v>8</v>
      </c>
      <c r="L76" t="str">
        <f t="shared" si="12"/>
        <v>At-Risk Repeat Customers</v>
      </c>
    </row>
    <row r="77" spans="1:12" x14ac:dyDescent="0.3">
      <c r="A77" s="12" t="s">
        <v>2667</v>
      </c>
      <c r="B77" s="14" t="str">
        <f>INDEX(orders!$F:$F,MATCH(A77,orders!$C:$C,0))</f>
        <v>Lenore Messenbird</v>
      </c>
      <c r="C77" s="15">
        <f>_xlfn.MAXIFS(orders!$B:$B,orders!$C:$C,A77)</f>
        <v>44083</v>
      </c>
      <c r="D77" s="14">
        <f t="shared" si="7"/>
        <v>710</v>
      </c>
      <c r="E77" s="14">
        <f>COUNTIFS(orders!$C:$C,A77)</f>
        <v>1</v>
      </c>
      <c r="F77" s="16">
        <f>SUMIFS(orders!$M:$M,orders!$C:$C,A77)</f>
        <v>17.91</v>
      </c>
      <c r="G77" s="14" t="str">
        <f>INDEX(orders!$P:$P,MATCH(A77,orders!$C:$C,0))</f>
        <v>Yes</v>
      </c>
      <c r="H77" s="17">
        <f t="shared" si="8"/>
        <v>3</v>
      </c>
      <c r="I77" s="14">
        <f t="shared" si="9"/>
        <v>1</v>
      </c>
      <c r="J77">
        <f t="shared" si="10"/>
        <v>2</v>
      </c>
      <c r="K77" s="14">
        <f t="shared" si="11"/>
        <v>6</v>
      </c>
      <c r="L77" t="str">
        <f t="shared" si="12"/>
        <v>Standard One-Time Buyers</v>
      </c>
    </row>
    <row r="78" spans="1:12" x14ac:dyDescent="0.3">
      <c r="A78" s="12" t="s">
        <v>706</v>
      </c>
      <c r="B78" s="14" t="str">
        <f>INDEX(orders!$F:$F,MATCH(A78,orders!$C:$C,0))</f>
        <v>Dorie de la Tremoille</v>
      </c>
      <c r="C78" s="15">
        <f>_xlfn.MAXIFS(orders!$B:$B,orders!$C:$C,A78)</f>
        <v>43946</v>
      </c>
      <c r="D78" s="14">
        <f t="shared" si="7"/>
        <v>847</v>
      </c>
      <c r="E78" s="14">
        <f>COUNTIFS(orders!$C:$C,A78)</f>
        <v>1</v>
      </c>
      <c r="F78" s="16">
        <f>SUMIFS(orders!$M:$M,orders!$C:$C,A78)</f>
        <v>114.42499999999998</v>
      </c>
      <c r="G78" s="14" t="str">
        <f>INDEX(orders!$P:$P,MATCH(A78,orders!$C:$C,0))</f>
        <v>No</v>
      </c>
      <c r="H78" s="17">
        <f t="shared" si="8"/>
        <v>2</v>
      </c>
      <c r="I78" s="14">
        <f t="shared" si="9"/>
        <v>1</v>
      </c>
      <c r="J78">
        <f t="shared" si="10"/>
        <v>5</v>
      </c>
      <c r="K78" s="14">
        <f t="shared" si="11"/>
        <v>8</v>
      </c>
      <c r="L78" t="str">
        <f t="shared" si="12"/>
        <v>Lapsed One-Time Buyers</v>
      </c>
    </row>
    <row r="79" spans="1:12" x14ac:dyDescent="0.3">
      <c r="A79" s="12" t="s">
        <v>2415</v>
      </c>
      <c r="B79" s="14" t="str">
        <f>INDEX(orders!$F:$F,MATCH(A79,orders!$C:$C,0))</f>
        <v>Lucienne Scargle</v>
      </c>
      <c r="C79" s="15">
        <f>_xlfn.MAXIFS(orders!$B:$B,orders!$C:$C,A79)</f>
        <v>43751</v>
      </c>
      <c r="D79" s="14">
        <f t="shared" si="7"/>
        <v>1042</v>
      </c>
      <c r="E79" s="14">
        <f>COUNTIFS(orders!$C:$C,A79)</f>
        <v>2</v>
      </c>
      <c r="F79" s="16">
        <f>SUMIFS(orders!$M:$M,orders!$C:$C,A79)</f>
        <v>56.669999999999995</v>
      </c>
      <c r="G79" s="14" t="str">
        <f>INDEX(orders!$P:$P,MATCH(A79,orders!$C:$C,0))</f>
        <v>No</v>
      </c>
      <c r="H79" s="17">
        <f t="shared" si="8"/>
        <v>1</v>
      </c>
      <c r="I79" s="14">
        <f t="shared" si="9"/>
        <v>3</v>
      </c>
      <c r="J79">
        <f t="shared" si="10"/>
        <v>4</v>
      </c>
      <c r="K79" s="14">
        <f t="shared" si="11"/>
        <v>8</v>
      </c>
      <c r="L79" t="str">
        <f t="shared" si="12"/>
        <v>At-Risk Repeat Customers</v>
      </c>
    </row>
    <row r="80" spans="1:12" x14ac:dyDescent="0.3">
      <c r="A80" s="12" t="s">
        <v>1277</v>
      </c>
      <c r="B80" s="14" t="str">
        <f>INDEX(orders!$F:$F,MATCH(A80,orders!$C:$C,0))</f>
        <v>Vallie Kundt</v>
      </c>
      <c r="C80" s="15">
        <f>_xlfn.MAXIFS(orders!$B:$B,orders!$C:$C,A80)</f>
        <v>44694</v>
      </c>
      <c r="D80" s="14">
        <f t="shared" si="7"/>
        <v>99</v>
      </c>
      <c r="E80" s="14">
        <f>COUNTIFS(orders!$C:$C,A80)</f>
        <v>1</v>
      </c>
      <c r="F80" s="16">
        <f>SUMIFS(orders!$M:$M,orders!$C:$C,A80)</f>
        <v>29.784999999999997</v>
      </c>
      <c r="G80" s="14" t="str">
        <f>INDEX(orders!$P:$P,MATCH(A80,orders!$C:$C,0))</f>
        <v>Yes</v>
      </c>
      <c r="H80" s="17">
        <f t="shared" si="8"/>
        <v>5</v>
      </c>
      <c r="I80" s="14">
        <f t="shared" si="9"/>
        <v>1</v>
      </c>
      <c r="J80">
        <f t="shared" si="10"/>
        <v>3</v>
      </c>
      <c r="K80" s="14">
        <f t="shared" si="11"/>
        <v>9</v>
      </c>
      <c r="L80" t="str">
        <f t="shared" si="12"/>
        <v>Standard One-Time Buyers</v>
      </c>
    </row>
    <row r="81" spans="1:12" x14ac:dyDescent="0.3">
      <c r="A81" s="12" t="s">
        <v>1627</v>
      </c>
      <c r="B81" s="14" t="str">
        <f>INDEX(orders!$F:$F,MATCH(A81,orders!$C:$C,0))</f>
        <v>Tallie felip</v>
      </c>
      <c r="C81" s="15">
        <f>_xlfn.MAXIFS(orders!$B:$B,orders!$C:$C,A81)</f>
        <v>44486</v>
      </c>
      <c r="D81" s="14">
        <f t="shared" si="7"/>
        <v>307</v>
      </c>
      <c r="E81" s="14">
        <f>COUNTIFS(orders!$C:$C,A81)</f>
        <v>1</v>
      </c>
      <c r="F81" s="16">
        <f>SUMIFS(orders!$M:$M,orders!$C:$C,A81)</f>
        <v>178.70999999999998</v>
      </c>
      <c r="G81" s="14" t="str">
        <f>INDEX(orders!$P:$P,MATCH(A81,orders!$C:$C,0))</f>
        <v>Yes</v>
      </c>
      <c r="H81" s="17">
        <f t="shared" si="8"/>
        <v>4</v>
      </c>
      <c r="I81" s="14">
        <f t="shared" si="9"/>
        <v>1</v>
      </c>
      <c r="J81">
        <f t="shared" si="10"/>
        <v>5</v>
      </c>
      <c r="K81" s="14">
        <f t="shared" si="11"/>
        <v>10</v>
      </c>
      <c r="L81" t="str">
        <f t="shared" si="12"/>
        <v>Recent High-Value (One-Time)</v>
      </c>
    </row>
    <row r="82" spans="1:12" x14ac:dyDescent="0.3">
      <c r="A82" s="12" t="s">
        <v>1049</v>
      </c>
      <c r="B82" s="14" t="str">
        <f>INDEX(orders!$F:$F,MATCH(A82,orders!$C:$C,0))</f>
        <v>Rudiger Di Bartolomeo</v>
      </c>
      <c r="C82" s="15">
        <f>_xlfn.MAXIFS(orders!$B:$B,orders!$C:$C,A82)</f>
        <v>44291</v>
      </c>
      <c r="D82" s="14">
        <f t="shared" si="7"/>
        <v>502</v>
      </c>
      <c r="E82" s="14">
        <f>COUNTIFS(orders!$C:$C,A82)</f>
        <v>1</v>
      </c>
      <c r="F82" s="16">
        <f>SUMIFS(orders!$M:$M,orders!$C:$C,A82)</f>
        <v>7.77</v>
      </c>
      <c r="G82" s="14" t="str">
        <f>INDEX(orders!$P:$P,MATCH(A82,orders!$C:$C,0))</f>
        <v>Yes</v>
      </c>
      <c r="H82" s="17">
        <f t="shared" si="8"/>
        <v>4</v>
      </c>
      <c r="I82" s="14">
        <f t="shared" si="9"/>
        <v>1</v>
      </c>
      <c r="J82">
        <f t="shared" si="10"/>
        <v>1</v>
      </c>
      <c r="K82" s="14">
        <f t="shared" si="11"/>
        <v>6</v>
      </c>
      <c r="L82" t="str">
        <f t="shared" si="12"/>
        <v>Standard One-Time Buyers</v>
      </c>
    </row>
    <row r="83" spans="1:12" x14ac:dyDescent="0.3">
      <c r="A83" s="12" t="s">
        <v>1901</v>
      </c>
      <c r="B83" s="14" t="str">
        <f>INDEX(orders!$F:$F,MATCH(A83,orders!$C:$C,0))</f>
        <v>Mercedes Acott</v>
      </c>
      <c r="C83" s="15">
        <f>_xlfn.MAXIFS(orders!$B:$B,orders!$C:$C,A83)</f>
        <v>43879</v>
      </c>
      <c r="D83" s="14">
        <f t="shared" si="7"/>
        <v>914</v>
      </c>
      <c r="E83" s="14">
        <f>COUNTIFS(orders!$C:$C,A83)</f>
        <v>1</v>
      </c>
      <c r="F83" s="16">
        <f>SUMIFS(orders!$M:$M,orders!$C:$C,A83)</f>
        <v>2.9849999999999999</v>
      </c>
      <c r="G83" s="14" t="str">
        <f>INDEX(orders!$P:$P,MATCH(A83,orders!$C:$C,0))</f>
        <v>Yes</v>
      </c>
      <c r="H83" s="17">
        <f t="shared" si="8"/>
        <v>2</v>
      </c>
      <c r="I83" s="14">
        <f t="shared" si="9"/>
        <v>1</v>
      </c>
      <c r="J83">
        <f t="shared" si="10"/>
        <v>1</v>
      </c>
      <c r="K83" s="14">
        <f t="shared" si="11"/>
        <v>4</v>
      </c>
      <c r="L83" t="str">
        <f t="shared" si="12"/>
        <v>Lapsed One-Time Buyers</v>
      </c>
    </row>
    <row r="84" spans="1:12" x14ac:dyDescent="0.3">
      <c r="A84" s="12" t="s">
        <v>5346</v>
      </c>
      <c r="B84" s="14" t="str">
        <f>INDEX(orders!$F:$F,MATCH(A84,orders!$C:$C,0))</f>
        <v>Redd Simao</v>
      </c>
      <c r="C84" s="15">
        <f>_xlfn.MAXIFS(orders!$B:$B,orders!$C:$C,A84)</f>
        <v>43716</v>
      </c>
      <c r="D84" s="14">
        <f t="shared" si="7"/>
        <v>1077</v>
      </c>
      <c r="E84" s="14">
        <f>COUNTIFS(orders!$C:$C,A84)</f>
        <v>1</v>
      </c>
      <c r="F84" s="16">
        <f>SUMIFS(orders!$M:$M,orders!$C:$C,A84)</f>
        <v>178.70999999999998</v>
      </c>
      <c r="G84" s="14" t="str">
        <f>INDEX(orders!$P:$P,MATCH(A84,orders!$C:$C,0))</f>
        <v>No</v>
      </c>
      <c r="H84" s="17">
        <f t="shared" si="8"/>
        <v>1</v>
      </c>
      <c r="I84" s="14">
        <f t="shared" si="9"/>
        <v>1</v>
      </c>
      <c r="J84">
        <f t="shared" si="10"/>
        <v>5</v>
      </c>
      <c r="K84" s="14">
        <f t="shared" si="11"/>
        <v>7</v>
      </c>
      <c r="L84" t="str">
        <f t="shared" si="12"/>
        <v>Lapsed One-Time Buyers</v>
      </c>
    </row>
    <row r="85" spans="1:12" x14ac:dyDescent="0.3">
      <c r="A85" s="12" t="s">
        <v>4904</v>
      </c>
      <c r="B85" s="14" t="str">
        <f>INDEX(orders!$F:$F,MATCH(A85,orders!$C:$C,0))</f>
        <v>Lacee Burtenshaw</v>
      </c>
      <c r="C85" s="15">
        <f>_xlfn.MAXIFS(orders!$B:$B,orders!$C:$C,A85)</f>
        <v>43778</v>
      </c>
      <c r="D85" s="14">
        <f t="shared" si="7"/>
        <v>1015</v>
      </c>
      <c r="E85" s="14">
        <f>COUNTIFS(orders!$C:$C,A85)</f>
        <v>1</v>
      </c>
      <c r="F85" s="16">
        <f>SUMIFS(orders!$M:$M,orders!$C:$C,A85)</f>
        <v>145.82</v>
      </c>
      <c r="G85" s="14" t="str">
        <f>INDEX(orders!$P:$P,MATCH(A85,orders!$C:$C,0))</f>
        <v>No</v>
      </c>
      <c r="H85" s="17">
        <f t="shared" si="8"/>
        <v>2</v>
      </c>
      <c r="I85" s="14">
        <f t="shared" si="9"/>
        <v>1</v>
      </c>
      <c r="J85">
        <f t="shared" si="10"/>
        <v>5</v>
      </c>
      <c r="K85" s="14">
        <f t="shared" si="11"/>
        <v>8</v>
      </c>
      <c r="L85" t="str">
        <f t="shared" si="12"/>
        <v>Lapsed One-Time Buyers</v>
      </c>
    </row>
    <row r="86" spans="1:12" x14ac:dyDescent="0.3">
      <c r="A86" s="12" t="s">
        <v>1107</v>
      </c>
      <c r="B86" s="14" t="str">
        <f>INDEX(orders!$F:$F,MATCH(A86,orders!$C:$C,0))</f>
        <v>Marie-jeanne Redgrave</v>
      </c>
      <c r="C86" s="15">
        <f>_xlfn.MAXIFS(orders!$B:$B,orders!$C:$C,A86)</f>
        <v>44727</v>
      </c>
      <c r="D86" s="14">
        <f t="shared" si="7"/>
        <v>66</v>
      </c>
      <c r="E86" s="14">
        <f>COUNTIFS(orders!$C:$C,A86)</f>
        <v>1</v>
      </c>
      <c r="F86" s="16">
        <f>SUMIFS(orders!$M:$M,orders!$C:$C,A86)</f>
        <v>13.365</v>
      </c>
      <c r="G86" s="14" t="str">
        <f>INDEX(orders!$P:$P,MATCH(A86,orders!$C:$C,0))</f>
        <v>Yes</v>
      </c>
      <c r="H86" s="17">
        <f t="shared" si="8"/>
        <v>5</v>
      </c>
      <c r="I86" s="14">
        <f t="shared" si="9"/>
        <v>1</v>
      </c>
      <c r="J86">
        <f t="shared" si="10"/>
        <v>1</v>
      </c>
      <c r="K86" s="14">
        <f t="shared" si="11"/>
        <v>7</v>
      </c>
      <c r="L86" t="str">
        <f t="shared" si="12"/>
        <v>Standard One-Time Buyers</v>
      </c>
    </row>
    <row r="87" spans="1:12" x14ac:dyDescent="0.3">
      <c r="A87" s="12" t="s">
        <v>3973</v>
      </c>
      <c r="B87" s="14" t="str">
        <f>INDEX(orders!$F:$F,MATCH(A87,orders!$C:$C,0))</f>
        <v>Rachelle Elizabeth</v>
      </c>
      <c r="C87" s="15">
        <f>_xlfn.MAXIFS(orders!$B:$B,orders!$C:$C,A87)</f>
        <v>43928</v>
      </c>
      <c r="D87" s="14">
        <f t="shared" si="7"/>
        <v>865</v>
      </c>
      <c r="E87" s="14">
        <f>COUNTIFS(orders!$C:$C,A87)</f>
        <v>1</v>
      </c>
      <c r="F87" s="16">
        <f>SUMIFS(orders!$M:$M,orders!$C:$C,A87)</f>
        <v>33.464999999999996</v>
      </c>
      <c r="G87" s="14" t="str">
        <f>INDEX(orders!$P:$P,MATCH(A87,orders!$C:$C,0))</f>
        <v>No</v>
      </c>
      <c r="H87" s="17">
        <f t="shared" si="8"/>
        <v>2</v>
      </c>
      <c r="I87" s="14">
        <f t="shared" si="9"/>
        <v>1</v>
      </c>
      <c r="J87">
        <f t="shared" si="10"/>
        <v>3</v>
      </c>
      <c r="K87" s="14">
        <f t="shared" si="11"/>
        <v>6</v>
      </c>
      <c r="L87" t="str">
        <f t="shared" si="12"/>
        <v>Lapsed One-Time Buyers</v>
      </c>
    </row>
    <row r="88" spans="1:12" x14ac:dyDescent="0.3">
      <c r="A88" s="12" t="s">
        <v>4648</v>
      </c>
      <c r="B88" s="14" t="str">
        <f>INDEX(orders!$F:$F,MATCH(A88,orders!$C:$C,0))</f>
        <v>Jarret Toye</v>
      </c>
      <c r="C88" s="15">
        <f>_xlfn.MAXIFS(orders!$B:$B,orders!$C:$C,A88)</f>
        <v>43508</v>
      </c>
      <c r="D88" s="14">
        <f t="shared" si="7"/>
        <v>1285</v>
      </c>
      <c r="E88" s="14">
        <f>COUNTIFS(orders!$C:$C,A88)</f>
        <v>1</v>
      </c>
      <c r="F88" s="16">
        <f>SUMIFS(orders!$M:$M,orders!$C:$C,A88)</f>
        <v>25.9</v>
      </c>
      <c r="G88" s="14" t="str">
        <f>INDEX(orders!$P:$P,MATCH(A88,orders!$C:$C,0))</f>
        <v>Yes</v>
      </c>
      <c r="H88" s="17">
        <f t="shared" si="8"/>
        <v>1</v>
      </c>
      <c r="I88" s="14">
        <f t="shared" si="9"/>
        <v>1</v>
      </c>
      <c r="J88">
        <f t="shared" si="10"/>
        <v>3</v>
      </c>
      <c r="K88" s="14">
        <f t="shared" si="11"/>
        <v>5</v>
      </c>
      <c r="L88" t="str">
        <f t="shared" si="12"/>
        <v>Lapsed One-Time Buyers</v>
      </c>
    </row>
    <row r="89" spans="1:12" x14ac:dyDescent="0.3">
      <c r="A89" s="12" t="s">
        <v>2164</v>
      </c>
      <c r="B89" s="14" t="str">
        <f>INDEX(orders!$F:$F,MATCH(A89,orders!$C:$C,0))</f>
        <v>Eddi Sedgebeer</v>
      </c>
      <c r="C89" s="15">
        <f>_xlfn.MAXIFS(orders!$B:$B,orders!$C:$C,A89)</f>
        <v>44258</v>
      </c>
      <c r="D89" s="14">
        <f t="shared" si="7"/>
        <v>535</v>
      </c>
      <c r="E89" s="14">
        <f>COUNTIFS(orders!$C:$C,A89)</f>
        <v>1</v>
      </c>
      <c r="F89" s="16">
        <f>SUMIFS(orders!$M:$M,orders!$C:$C,A89)</f>
        <v>16.11</v>
      </c>
      <c r="G89" s="14" t="str">
        <f>INDEX(orders!$P:$P,MATCH(A89,orders!$C:$C,0))</f>
        <v>Yes</v>
      </c>
      <c r="H89" s="17">
        <f t="shared" si="8"/>
        <v>3</v>
      </c>
      <c r="I89" s="14">
        <f t="shared" si="9"/>
        <v>1</v>
      </c>
      <c r="J89">
        <f t="shared" si="10"/>
        <v>2</v>
      </c>
      <c r="K89" s="14">
        <f t="shared" si="11"/>
        <v>6</v>
      </c>
      <c r="L89" t="str">
        <f t="shared" si="12"/>
        <v>Standard One-Time Buyers</v>
      </c>
    </row>
    <row r="90" spans="1:12" x14ac:dyDescent="0.3">
      <c r="A90" s="12" t="s">
        <v>5950</v>
      </c>
      <c r="B90" s="14" t="str">
        <f>INDEX(orders!$F:$F,MATCH(A90,orders!$C:$C,0))</f>
        <v>Bearnard Wardell</v>
      </c>
      <c r="C90" s="15">
        <f>_xlfn.MAXIFS(orders!$B:$B,orders!$C:$C,A90)</f>
        <v>43491</v>
      </c>
      <c r="D90" s="14">
        <f t="shared" si="7"/>
        <v>1302</v>
      </c>
      <c r="E90" s="14">
        <f>COUNTIFS(orders!$C:$C,A90)</f>
        <v>1</v>
      </c>
      <c r="F90" s="16">
        <f>SUMIFS(orders!$M:$M,orders!$C:$C,A90)</f>
        <v>53.46</v>
      </c>
      <c r="G90" s="14" t="str">
        <f>INDEX(orders!$P:$P,MATCH(A90,orders!$C:$C,0))</f>
        <v>Yes</v>
      </c>
      <c r="H90" s="17">
        <f t="shared" si="8"/>
        <v>1</v>
      </c>
      <c r="I90" s="14">
        <f t="shared" si="9"/>
        <v>1</v>
      </c>
      <c r="J90">
        <f t="shared" si="10"/>
        <v>4</v>
      </c>
      <c r="K90" s="14">
        <f t="shared" si="11"/>
        <v>6</v>
      </c>
      <c r="L90" t="str">
        <f t="shared" si="12"/>
        <v>Lapsed One-Time Buyers</v>
      </c>
    </row>
    <row r="91" spans="1:12" x14ac:dyDescent="0.3">
      <c r="A91" s="12" t="s">
        <v>3896</v>
      </c>
      <c r="B91" s="14" t="str">
        <f>INDEX(orders!$F:$F,MATCH(A91,orders!$C:$C,0))</f>
        <v>Donavon Fowle</v>
      </c>
      <c r="C91" s="15">
        <f>_xlfn.MAXIFS(orders!$B:$B,orders!$C:$C,A91)</f>
        <v>43660</v>
      </c>
      <c r="D91" s="14">
        <f t="shared" si="7"/>
        <v>1133</v>
      </c>
      <c r="E91" s="14">
        <f>COUNTIFS(orders!$C:$C,A91)</f>
        <v>1</v>
      </c>
      <c r="F91" s="16">
        <f>SUMIFS(orders!$M:$M,orders!$C:$C,A91)</f>
        <v>8.9550000000000001</v>
      </c>
      <c r="G91" s="14" t="str">
        <f>INDEX(orders!$P:$P,MATCH(A91,orders!$C:$C,0))</f>
        <v>No</v>
      </c>
      <c r="H91" s="17">
        <f t="shared" si="8"/>
        <v>1</v>
      </c>
      <c r="I91" s="14">
        <f t="shared" si="9"/>
        <v>1</v>
      </c>
      <c r="J91">
        <f t="shared" si="10"/>
        <v>1</v>
      </c>
      <c r="K91" s="14">
        <f t="shared" si="11"/>
        <v>3</v>
      </c>
      <c r="L91" t="str">
        <f t="shared" si="12"/>
        <v>Lapsed One-Time Buyers</v>
      </c>
    </row>
    <row r="92" spans="1:12" x14ac:dyDescent="0.3">
      <c r="A92" s="12" t="s">
        <v>3215</v>
      </c>
      <c r="B92" s="14" t="str">
        <f>INDEX(orders!$F:$F,MATCH(A92,orders!$C:$C,0))</f>
        <v>Stanly Keets</v>
      </c>
      <c r="C92" s="15">
        <f>_xlfn.MAXIFS(orders!$B:$B,orders!$C:$C,A92)</f>
        <v>44247</v>
      </c>
      <c r="D92" s="14">
        <f t="shared" si="7"/>
        <v>546</v>
      </c>
      <c r="E92" s="14">
        <f>COUNTIFS(orders!$C:$C,A92)</f>
        <v>1</v>
      </c>
      <c r="F92" s="16">
        <f>SUMIFS(orders!$M:$M,orders!$C:$C,A92)</f>
        <v>139.72499999999999</v>
      </c>
      <c r="G92" s="14" t="str">
        <f>INDEX(orders!$P:$P,MATCH(A92,orders!$C:$C,0))</f>
        <v>Yes</v>
      </c>
      <c r="H92" s="17">
        <f t="shared" si="8"/>
        <v>3</v>
      </c>
      <c r="I92" s="14">
        <f t="shared" si="9"/>
        <v>1</v>
      </c>
      <c r="J92">
        <f t="shared" si="10"/>
        <v>5</v>
      </c>
      <c r="K92" s="14">
        <f t="shared" si="11"/>
        <v>9</v>
      </c>
      <c r="L92" t="str">
        <f t="shared" si="12"/>
        <v>Standard One-Time Buyers</v>
      </c>
    </row>
    <row r="93" spans="1:12" x14ac:dyDescent="0.3">
      <c r="A93" s="12" t="s">
        <v>801</v>
      </c>
      <c r="B93" s="14" t="str">
        <f>INDEX(orders!$F:$F,MATCH(A93,orders!$C:$C,0))</f>
        <v>Salomo Cushworth</v>
      </c>
      <c r="C93" s="15">
        <f>_xlfn.MAXIFS(orders!$B:$B,orders!$C:$C,A93)</f>
        <v>44168</v>
      </c>
      <c r="D93" s="14">
        <f t="shared" si="7"/>
        <v>625</v>
      </c>
      <c r="E93" s="14">
        <f>COUNTIFS(orders!$C:$C,A93)</f>
        <v>1</v>
      </c>
      <c r="F93" s="16">
        <f>SUMIFS(orders!$M:$M,orders!$C:$C,A93)</f>
        <v>47.55</v>
      </c>
      <c r="G93" s="14" t="str">
        <f>INDEX(orders!$P:$P,MATCH(A93,orders!$C:$C,0))</f>
        <v>No</v>
      </c>
      <c r="H93" s="17">
        <f t="shared" si="8"/>
        <v>3</v>
      </c>
      <c r="I93" s="14">
        <f t="shared" si="9"/>
        <v>1</v>
      </c>
      <c r="J93">
        <f t="shared" si="10"/>
        <v>4</v>
      </c>
      <c r="K93" s="14">
        <f t="shared" si="11"/>
        <v>8</v>
      </c>
      <c r="L93" t="str">
        <f t="shared" si="12"/>
        <v>Standard One-Time Buyers</v>
      </c>
    </row>
    <row r="94" spans="1:12" x14ac:dyDescent="0.3">
      <c r="A94" s="12" t="s">
        <v>3119</v>
      </c>
      <c r="B94" s="14" t="str">
        <f>INDEX(orders!$F:$F,MATCH(A94,orders!$C:$C,0))</f>
        <v>Dick Drinkall</v>
      </c>
      <c r="C94" s="15">
        <f>_xlfn.MAXIFS(orders!$B:$B,orders!$C:$C,A94)</f>
        <v>43814</v>
      </c>
      <c r="D94" s="14">
        <f t="shared" si="7"/>
        <v>979</v>
      </c>
      <c r="E94" s="14">
        <f>COUNTIFS(orders!$C:$C,A94)</f>
        <v>1</v>
      </c>
      <c r="F94" s="16">
        <f>SUMIFS(orders!$M:$M,orders!$C:$C,A94)</f>
        <v>20.584999999999997</v>
      </c>
      <c r="G94" s="14" t="str">
        <f>INDEX(orders!$P:$P,MATCH(A94,orders!$C:$C,0))</f>
        <v>Yes</v>
      </c>
      <c r="H94" s="17">
        <f t="shared" si="8"/>
        <v>2</v>
      </c>
      <c r="I94" s="14">
        <f t="shared" si="9"/>
        <v>1</v>
      </c>
      <c r="J94">
        <f t="shared" si="10"/>
        <v>2</v>
      </c>
      <c r="K94" s="14">
        <f t="shared" si="11"/>
        <v>5</v>
      </c>
      <c r="L94" t="str">
        <f t="shared" si="12"/>
        <v>Lapsed One-Time Buyers</v>
      </c>
    </row>
    <row r="95" spans="1:12" x14ac:dyDescent="0.3">
      <c r="A95" s="12" t="s">
        <v>3159</v>
      </c>
      <c r="B95" s="14" t="str">
        <f>INDEX(orders!$F:$F,MATCH(A95,orders!$C:$C,0))</f>
        <v>Roxine Drivers</v>
      </c>
      <c r="C95" s="15">
        <f>_xlfn.MAXIFS(orders!$B:$B,orders!$C:$C,A95)</f>
        <v>43869</v>
      </c>
      <c r="D95" s="14">
        <f t="shared" si="7"/>
        <v>924</v>
      </c>
      <c r="E95" s="14">
        <f>COUNTIFS(orders!$C:$C,A95)</f>
        <v>1</v>
      </c>
      <c r="F95" s="16">
        <f>SUMIFS(orders!$M:$M,orders!$C:$C,A95)</f>
        <v>5.97</v>
      </c>
      <c r="G95" s="14" t="str">
        <f>INDEX(orders!$P:$P,MATCH(A95,orders!$C:$C,0))</f>
        <v>No</v>
      </c>
      <c r="H95" s="17">
        <f t="shared" si="8"/>
        <v>2</v>
      </c>
      <c r="I95" s="14">
        <f t="shared" si="9"/>
        <v>1</v>
      </c>
      <c r="J95">
        <f t="shared" si="10"/>
        <v>1</v>
      </c>
      <c r="K95" s="14">
        <f t="shared" si="11"/>
        <v>4</v>
      </c>
      <c r="L95" t="str">
        <f t="shared" si="12"/>
        <v>Lapsed One-Time Buyers</v>
      </c>
    </row>
    <row r="96" spans="1:12" x14ac:dyDescent="0.3">
      <c r="A96" s="12" t="s">
        <v>3594</v>
      </c>
      <c r="B96" s="14" t="str">
        <f>INDEX(orders!$F:$F,MATCH(A96,orders!$C:$C,0))</f>
        <v>Wilek Lightollers</v>
      </c>
      <c r="C96" s="15">
        <f>_xlfn.MAXIFS(orders!$B:$B,orders!$C:$C,A96)</f>
        <v>44265</v>
      </c>
      <c r="D96" s="14">
        <f t="shared" si="7"/>
        <v>528</v>
      </c>
      <c r="E96" s="14">
        <f>COUNTIFS(orders!$C:$C,A96)</f>
        <v>2</v>
      </c>
      <c r="F96" s="16">
        <f>SUMIFS(orders!$M:$M,orders!$C:$C,A96)</f>
        <v>28.574999999999999</v>
      </c>
      <c r="G96" s="14" t="str">
        <f>INDEX(orders!$P:$P,MATCH(A96,orders!$C:$C,0))</f>
        <v>Yes</v>
      </c>
      <c r="H96" s="17">
        <f t="shared" si="8"/>
        <v>3</v>
      </c>
      <c r="I96" s="14">
        <f t="shared" si="9"/>
        <v>3</v>
      </c>
      <c r="J96">
        <f t="shared" si="10"/>
        <v>3</v>
      </c>
      <c r="K96" s="14">
        <f t="shared" si="11"/>
        <v>9</v>
      </c>
      <c r="L96" t="str">
        <f t="shared" si="12"/>
        <v>At-Risk Repeat Customers</v>
      </c>
    </row>
    <row r="97" spans="1:12" x14ac:dyDescent="0.3">
      <c r="A97" s="12" t="s">
        <v>3808</v>
      </c>
      <c r="B97" s="14" t="str">
        <f>INDEX(orders!$F:$F,MATCH(A97,orders!$C:$C,0))</f>
        <v>Bar O' Mahony</v>
      </c>
      <c r="C97" s="15">
        <f>_xlfn.MAXIFS(orders!$B:$B,orders!$C:$C,A97)</f>
        <v>44267</v>
      </c>
      <c r="D97" s="14">
        <f t="shared" si="7"/>
        <v>526</v>
      </c>
      <c r="E97" s="14">
        <f>COUNTIFS(orders!$C:$C,A97)</f>
        <v>1</v>
      </c>
      <c r="F97" s="16">
        <f>SUMIFS(orders!$M:$M,orders!$C:$C,A97)</f>
        <v>7.77</v>
      </c>
      <c r="G97" s="14" t="str">
        <f>INDEX(orders!$P:$P,MATCH(A97,orders!$C:$C,0))</f>
        <v>Yes</v>
      </c>
      <c r="H97" s="17">
        <f t="shared" si="8"/>
        <v>3</v>
      </c>
      <c r="I97" s="14">
        <f t="shared" si="9"/>
        <v>1</v>
      </c>
      <c r="J97">
        <f t="shared" si="10"/>
        <v>1</v>
      </c>
      <c r="K97" s="14">
        <f t="shared" si="11"/>
        <v>5</v>
      </c>
      <c r="L97" t="str">
        <f t="shared" si="12"/>
        <v>Standard One-Time Buyers</v>
      </c>
    </row>
    <row r="98" spans="1:12" x14ac:dyDescent="0.3">
      <c r="A98" s="12" t="s">
        <v>1737</v>
      </c>
      <c r="B98" s="14" t="str">
        <f>INDEX(orders!$F:$F,MATCH(A98,orders!$C:$C,0))</f>
        <v>Lenka Rushmer</v>
      </c>
      <c r="C98" s="15">
        <f>_xlfn.MAXIFS(orders!$B:$B,orders!$C:$C,A98)</f>
        <v>44513</v>
      </c>
      <c r="D98" s="14">
        <f t="shared" si="7"/>
        <v>280</v>
      </c>
      <c r="E98" s="14">
        <f>COUNTIFS(orders!$C:$C,A98)</f>
        <v>1</v>
      </c>
      <c r="F98" s="16">
        <f>SUMIFS(orders!$M:$M,orders!$C:$C,A98)</f>
        <v>77.699999999999989</v>
      </c>
      <c r="G98" s="14" t="str">
        <f>INDEX(orders!$P:$P,MATCH(A98,orders!$C:$C,0))</f>
        <v>Yes</v>
      </c>
      <c r="H98" s="17">
        <f t="shared" si="8"/>
        <v>4</v>
      </c>
      <c r="I98" s="14">
        <f t="shared" si="9"/>
        <v>1</v>
      </c>
      <c r="J98">
        <f t="shared" si="10"/>
        <v>4</v>
      </c>
      <c r="K98" s="14">
        <f t="shared" si="11"/>
        <v>9</v>
      </c>
      <c r="L98" t="str">
        <f t="shared" si="12"/>
        <v>Recent High-Value (One-Time)</v>
      </c>
    </row>
    <row r="99" spans="1:12" x14ac:dyDescent="0.3">
      <c r="A99" s="12" t="s">
        <v>3454</v>
      </c>
      <c r="B99" s="14" t="str">
        <f>INDEX(orders!$F:$F,MATCH(A99,orders!$C:$C,0))</f>
        <v>Erny Stenyng</v>
      </c>
      <c r="C99" s="15">
        <f>_xlfn.MAXIFS(orders!$B:$B,orders!$C:$C,A99)</f>
        <v>44255</v>
      </c>
      <c r="D99" s="14">
        <f t="shared" si="7"/>
        <v>538</v>
      </c>
      <c r="E99" s="14">
        <f>COUNTIFS(orders!$C:$C,A99)</f>
        <v>1</v>
      </c>
      <c r="F99" s="16">
        <f>SUMIFS(orders!$M:$M,orders!$C:$C,A99)</f>
        <v>72.91</v>
      </c>
      <c r="G99" s="14" t="str">
        <f>INDEX(orders!$P:$P,MATCH(A99,orders!$C:$C,0))</f>
        <v>No</v>
      </c>
      <c r="H99" s="17">
        <f t="shared" si="8"/>
        <v>3</v>
      </c>
      <c r="I99" s="14">
        <f t="shared" si="9"/>
        <v>1</v>
      </c>
      <c r="J99">
        <f t="shared" si="10"/>
        <v>4</v>
      </c>
      <c r="K99" s="14">
        <f t="shared" si="11"/>
        <v>8</v>
      </c>
      <c r="L99" t="str">
        <f t="shared" si="12"/>
        <v>Standard One-Time Buyers</v>
      </c>
    </row>
    <row r="100" spans="1:12" x14ac:dyDescent="0.3">
      <c r="A100" s="12" t="s">
        <v>4671</v>
      </c>
      <c r="B100" s="14" t="str">
        <f>INDEX(orders!$F:$F,MATCH(A100,orders!$C:$C,0))</f>
        <v>Kandace Cragell</v>
      </c>
      <c r="C100" s="15">
        <f>_xlfn.MAXIFS(orders!$B:$B,orders!$C:$C,A100)</f>
        <v>44643</v>
      </c>
      <c r="D100" s="14">
        <f t="shared" si="7"/>
        <v>150</v>
      </c>
      <c r="E100" s="14">
        <f>COUNTIFS(orders!$C:$C,A100)</f>
        <v>1</v>
      </c>
      <c r="F100" s="16">
        <f>SUMIFS(orders!$M:$M,orders!$C:$C,A100)</f>
        <v>28.679999999999996</v>
      </c>
      <c r="G100" s="14" t="str">
        <f>INDEX(orders!$P:$P,MATCH(A100,orders!$C:$C,0))</f>
        <v>No</v>
      </c>
      <c r="H100" s="17">
        <f t="shared" si="8"/>
        <v>5</v>
      </c>
      <c r="I100" s="14">
        <f t="shared" si="9"/>
        <v>1</v>
      </c>
      <c r="J100">
        <f t="shared" si="10"/>
        <v>3</v>
      </c>
      <c r="K100" s="14">
        <f t="shared" si="11"/>
        <v>9</v>
      </c>
      <c r="L100" t="str">
        <f t="shared" si="12"/>
        <v>Standard One-Time Buyers</v>
      </c>
    </row>
    <row r="101" spans="1:12" x14ac:dyDescent="0.3">
      <c r="A101" s="12" t="s">
        <v>3824</v>
      </c>
      <c r="B101" s="14" t="str">
        <f>INDEX(orders!$F:$F,MATCH(A101,orders!$C:$C,0))</f>
        <v>Jewelle Shenton</v>
      </c>
      <c r="C101" s="15">
        <f>_xlfn.MAXIFS(orders!$B:$B,orders!$C:$C,A101)</f>
        <v>43950</v>
      </c>
      <c r="D101" s="14">
        <f t="shared" si="7"/>
        <v>843</v>
      </c>
      <c r="E101" s="14">
        <f>COUNTIFS(orders!$C:$C,A101)</f>
        <v>1</v>
      </c>
      <c r="F101" s="16">
        <f>SUMIFS(orders!$M:$M,orders!$C:$C,A101)</f>
        <v>63.249999999999993</v>
      </c>
      <c r="G101" s="14" t="str">
        <f>INDEX(orders!$P:$P,MATCH(A101,orders!$C:$C,0))</f>
        <v>Yes</v>
      </c>
      <c r="H101" s="17">
        <f t="shared" si="8"/>
        <v>2</v>
      </c>
      <c r="I101" s="14">
        <f t="shared" si="9"/>
        <v>1</v>
      </c>
      <c r="J101">
        <f t="shared" si="10"/>
        <v>4</v>
      </c>
      <c r="K101" s="14">
        <f t="shared" si="11"/>
        <v>7</v>
      </c>
      <c r="L101" t="str">
        <f t="shared" si="12"/>
        <v>Lapsed One-Time Buyers</v>
      </c>
    </row>
    <row r="102" spans="1:12" x14ac:dyDescent="0.3">
      <c r="A102" s="12" t="s">
        <v>5386</v>
      </c>
      <c r="B102" s="14" t="str">
        <f>INDEX(orders!$F:$F,MATCH(A102,orders!$C:$C,0))</f>
        <v>Rafaela Treacher</v>
      </c>
      <c r="C102" s="15">
        <f>_xlfn.MAXIFS(orders!$B:$B,orders!$C:$C,A102)</f>
        <v>44209</v>
      </c>
      <c r="D102" s="14">
        <f t="shared" si="7"/>
        <v>584</v>
      </c>
      <c r="E102" s="14">
        <f>COUNTIFS(orders!$C:$C,A102)</f>
        <v>1</v>
      </c>
      <c r="F102" s="16">
        <f>SUMIFS(orders!$M:$M,orders!$C:$C,A102)</f>
        <v>17.91</v>
      </c>
      <c r="G102" s="14" t="str">
        <f>INDEX(orders!$P:$P,MATCH(A102,orders!$C:$C,0))</f>
        <v>No</v>
      </c>
      <c r="H102" s="17">
        <f t="shared" si="8"/>
        <v>3</v>
      </c>
      <c r="I102" s="14">
        <f t="shared" si="9"/>
        <v>1</v>
      </c>
      <c r="J102">
        <f t="shared" si="10"/>
        <v>2</v>
      </c>
      <c r="K102" s="14">
        <f t="shared" si="11"/>
        <v>6</v>
      </c>
      <c r="L102" t="str">
        <f t="shared" si="12"/>
        <v>Standard One-Time Buyers</v>
      </c>
    </row>
    <row r="103" spans="1:12" x14ac:dyDescent="0.3">
      <c r="A103" s="12" t="s">
        <v>2711</v>
      </c>
      <c r="B103" s="14" t="str">
        <f>INDEX(orders!$F:$F,MATCH(A103,orders!$C:$C,0))</f>
        <v>Randal Longfield</v>
      </c>
      <c r="C103" s="15">
        <f>_xlfn.MAXIFS(orders!$B:$B,orders!$C:$C,A103)</f>
        <v>44083</v>
      </c>
      <c r="D103" s="14">
        <f t="shared" si="7"/>
        <v>710</v>
      </c>
      <c r="E103" s="14">
        <f>COUNTIFS(orders!$C:$C,A103)</f>
        <v>1</v>
      </c>
      <c r="F103" s="16">
        <f>SUMIFS(orders!$M:$M,orders!$C:$C,A103)</f>
        <v>109.93999999999998</v>
      </c>
      <c r="G103" s="14" t="str">
        <f>INDEX(orders!$P:$P,MATCH(A103,orders!$C:$C,0))</f>
        <v>No</v>
      </c>
      <c r="H103" s="17">
        <f t="shared" si="8"/>
        <v>3</v>
      </c>
      <c r="I103" s="14">
        <f t="shared" si="9"/>
        <v>1</v>
      </c>
      <c r="J103">
        <f t="shared" si="10"/>
        <v>5</v>
      </c>
      <c r="K103" s="14">
        <f t="shared" si="11"/>
        <v>9</v>
      </c>
      <c r="L103" t="str">
        <f t="shared" si="12"/>
        <v>Standard One-Time Buyers</v>
      </c>
    </row>
    <row r="104" spans="1:12" x14ac:dyDescent="0.3">
      <c r="A104" s="12" t="s">
        <v>4484</v>
      </c>
      <c r="B104" s="14" t="str">
        <f>INDEX(orders!$F:$F,MATCH(A104,orders!$C:$C,0))</f>
        <v>Nicolas Aiton</v>
      </c>
      <c r="C104" s="15">
        <f>_xlfn.MAXIFS(orders!$B:$B,orders!$C:$C,A104)</f>
        <v>43540</v>
      </c>
      <c r="D104" s="14">
        <f t="shared" si="7"/>
        <v>1253</v>
      </c>
      <c r="E104" s="14">
        <f>COUNTIFS(orders!$C:$C,A104)</f>
        <v>1</v>
      </c>
      <c r="F104" s="16">
        <f>SUMIFS(orders!$M:$M,orders!$C:$C,A104)</f>
        <v>25.9</v>
      </c>
      <c r="G104" s="14" t="str">
        <f>INDEX(orders!$P:$P,MATCH(A104,orders!$C:$C,0))</f>
        <v>No</v>
      </c>
      <c r="H104" s="17">
        <f t="shared" si="8"/>
        <v>1</v>
      </c>
      <c r="I104" s="14">
        <f t="shared" si="9"/>
        <v>1</v>
      </c>
      <c r="J104">
        <f t="shared" si="10"/>
        <v>3</v>
      </c>
      <c r="K104" s="14">
        <f t="shared" si="11"/>
        <v>5</v>
      </c>
      <c r="L104" t="str">
        <f t="shared" si="12"/>
        <v>Lapsed One-Time Buyers</v>
      </c>
    </row>
    <row r="105" spans="1:12" x14ac:dyDescent="0.3">
      <c r="A105" s="12" t="s">
        <v>1813</v>
      </c>
      <c r="B105" s="14" t="str">
        <f>INDEX(orders!$F:$F,MATCH(A105,orders!$C:$C,0))</f>
        <v>Tomas Sutty</v>
      </c>
      <c r="C105" s="15">
        <f>_xlfn.MAXIFS(orders!$B:$B,orders!$C:$C,A105)</f>
        <v>44602</v>
      </c>
      <c r="D105" s="14">
        <f t="shared" si="7"/>
        <v>191</v>
      </c>
      <c r="E105" s="14">
        <f>COUNTIFS(orders!$C:$C,A105)</f>
        <v>1</v>
      </c>
      <c r="F105" s="16">
        <f>SUMIFS(orders!$M:$M,orders!$C:$C,A105)</f>
        <v>36.454999999999998</v>
      </c>
      <c r="G105" s="14" t="str">
        <f>INDEX(orders!$P:$P,MATCH(A105,orders!$C:$C,0))</f>
        <v>No</v>
      </c>
      <c r="H105" s="17">
        <f t="shared" si="8"/>
        <v>5</v>
      </c>
      <c r="I105" s="14">
        <f t="shared" si="9"/>
        <v>1</v>
      </c>
      <c r="J105">
        <f t="shared" si="10"/>
        <v>3</v>
      </c>
      <c r="K105" s="14">
        <f t="shared" si="11"/>
        <v>9</v>
      </c>
      <c r="L105" t="str">
        <f t="shared" si="12"/>
        <v>Standard One-Time Buyers</v>
      </c>
    </row>
    <row r="106" spans="1:12" x14ac:dyDescent="0.3">
      <c r="A106" s="12" t="s">
        <v>1760</v>
      </c>
      <c r="B106" s="14" t="str">
        <f>INDEX(orders!$F:$F,MATCH(A106,orders!$C:$C,0))</f>
        <v>Elsbeth Westerman</v>
      </c>
      <c r="C106" s="15">
        <f>_xlfn.MAXIFS(orders!$B:$B,orders!$C:$C,A106)</f>
        <v>44337</v>
      </c>
      <c r="D106" s="14">
        <f t="shared" si="7"/>
        <v>456</v>
      </c>
      <c r="E106" s="14">
        <f>COUNTIFS(orders!$C:$C,A106)</f>
        <v>1</v>
      </c>
      <c r="F106" s="16">
        <f>SUMIFS(orders!$M:$M,orders!$C:$C,A106)</f>
        <v>14.339999999999998</v>
      </c>
      <c r="G106" s="14" t="str">
        <f>INDEX(orders!$P:$P,MATCH(A106,orders!$C:$C,0))</f>
        <v>No</v>
      </c>
      <c r="H106" s="17">
        <f t="shared" si="8"/>
        <v>4</v>
      </c>
      <c r="I106" s="14">
        <f t="shared" si="9"/>
        <v>1</v>
      </c>
      <c r="J106">
        <f t="shared" si="10"/>
        <v>2</v>
      </c>
      <c r="K106" s="14">
        <f t="shared" si="11"/>
        <v>7</v>
      </c>
      <c r="L106" t="str">
        <f t="shared" si="12"/>
        <v>Standard One-Time Buyers</v>
      </c>
    </row>
    <row r="107" spans="1:12" x14ac:dyDescent="0.3">
      <c r="A107" s="12" t="s">
        <v>4777</v>
      </c>
      <c r="B107" s="14" t="str">
        <f>INDEX(orders!$F:$F,MATCH(A107,orders!$C:$C,0))</f>
        <v>Lorelei Nardoni</v>
      </c>
      <c r="C107" s="15">
        <f>_xlfn.MAXIFS(orders!$B:$B,orders!$C:$C,A107)</f>
        <v>43672</v>
      </c>
      <c r="D107" s="14">
        <f t="shared" si="7"/>
        <v>1121</v>
      </c>
      <c r="E107" s="14">
        <f>COUNTIFS(orders!$C:$C,A107)</f>
        <v>1</v>
      </c>
      <c r="F107" s="16">
        <f>SUMIFS(orders!$M:$M,orders!$C:$C,A107)</f>
        <v>8.9499999999999993</v>
      </c>
      <c r="G107" s="14" t="str">
        <f>INDEX(orders!$P:$P,MATCH(A107,orders!$C:$C,0))</f>
        <v>No</v>
      </c>
      <c r="H107" s="17">
        <f t="shared" si="8"/>
        <v>1</v>
      </c>
      <c r="I107" s="14">
        <f t="shared" si="9"/>
        <v>1</v>
      </c>
      <c r="J107">
        <f t="shared" si="10"/>
        <v>1</v>
      </c>
      <c r="K107" s="14">
        <f t="shared" si="11"/>
        <v>3</v>
      </c>
      <c r="L107" t="str">
        <f t="shared" si="12"/>
        <v>Lapsed One-Time Buyers</v>
      </c>
    </row>
    <row r="108" spans="1:12" x14ac:dyDescent="0.3">
      <c r="A108" s="12" t="s">
        <v>5212</v>
      </c>
      <c r="B108" s="14" t="str">
        <f>INDEX(orders!$F:$F,MATCH(A108,orders!$C:$C,0))</f>
        <v>Konstantine Thoumasson</v>
      </c>
      <c r="C108" s="15">
        <f>_xlfn.MAXIFS(orders!$B:$B,orders!$C:$C,A108)</f>
        <v>44270</v>
      </c>
      <c r="D108" s="14">
        <f t="shared" si="7"/>
        <v>523</v>
      </c>
      <c r="E108" s="14">
        <f>COUNTIFS(orders!$C:$C,A108)</f>
        <v>1</v>
      </c>
      <c r="F108" s="16">
        <f>SUMIFS(orders!$M:$M,orders!$C:$C,A108)</f>
        <v>8.91</v>
      </c>
      <c r="G108" s="14" t="str">
        <f>INDEX(orders!$P:$P,MATCH(A108,orders!$C:$C,0))</f>
        <v>Yes</v>
      </c>
      <c r="H108" s="17">
        <f t="shared" si="8"/>
        <v>3</v>
      </c>
      <c r="I108" s="14">
        <f t="shared" si="9"/>
        <v>1</v>
      </c>
      <c r="J108">
        <f t="shared" si="10"/>
        <v>1</v>
      </c>
      <c r="K108" s="14">
        <f t="shared" si="11"/>
        <v>5</v>
      </c>
      <c r="L108" t="str">
        <f t="shared" si="12"/>
        <v>Standard One-Time Buyers</v>
      </c>
    </row>
    <row r="109" spans="1:12" x14ac:dyDescent="0.3">
      <c r="A109" s="12" t="s">
        <v>2764</v>
      </c>
      <c r="B109" s="14" t="str">
        <f>INDEX(orders!$F:$F,MATCH(A109,orders!$C:$C,0))</f>
        <v>Benedetto Gozzett</v>
      </c>
      <c r="C109" s="15">
        <f>_xlfn.MAXIFS(orders!$B:$B,orders!$C:$C,A109)</f>
        <v>44295</v>
      </c>
      <c r="D109" s="14">
        <f t="shared" si="7"/>
        <v>498</v>
      </c>
      <c r="E109" s="14">
        <f>COUNTIFS(orders!$C:$C,A109)</f>
        <v>1</v>
      </c>
      <c r="F109" s="16">
        <f>SUMIFS(orders!$M:$M,orders!$C:$C,A109)</f>
        <v>9.51</v>
      </c>
      <c r="G109" s="14" t="str">
        <f>INDEX(orders!$P:$P,MATCH(A109,orders!$C:$C,0))</f>
        <v>No</v>
      </c>
      <c r="H109" s="17">
        <f t="shared" si="8"/>
        <v>4</v>
      </c>
      <c r="I109" s="14">
        <f t="shared" si="9"/>
        <v>1</v>
      </c>
      <c r="J109">
        <f t="shared" si="10"/>
        <v>1</v>
      </c>
      <c r="K109" s="14">
        <f t="shared" si="11"/>
        <v>6</v>
      </c>
      <c r="L109" t="str">
        <f t="shared" si="12"/>
        <v>Standard One-Time Buyers</v>
      </c>
    </row>
    <row r="110" spans="1:12" x14ac:dyDescent="0.3">
      <c r="A110" s="12" t="s">
        <v>5694</v>
      </c>
      <c r="B110" s="14" t="str">
        <f>INDEX(orders!$F:$F,MATCH(A110,orders!$C:$C,0))</f>
        <v>Hadley Reuven</v>
      </c>
      <c r="C110" s="15">
        <f>_xlfn.MAXIFS(orders!$B:$B,orders!$C:$C,A110)</f>
        <v>44711</v>
      </c>
      <c r="D110" s="14">
        <f t="shared" si="7"/>
        <v>82</v>
      </c>
      <c r="E110" s="14">
        <f>COUNTIFS(orders!$C:$C,A110)</f>
        <v>1</v>
      </c>
      <c r="F110" s="16">
        <f>SUMIFS(orders!$M:$M,orders!$C:$C,A110)</f>
        <v>123.50999999999999</v>
      </c>
      <c r="G110" s="14" t="str">
        <f>INDEX(orders!$P:$P,MATCH(A110,orders!$C:$C,0))</f>
        <v>No</v>
      </c>
      <c r="H110" s="17">
        <f t="shared" si="8"/>
        <v>5</v>
      </c>
      <c r="I110" s="14">
        <f t="shared" si="9"/>
        <v>1</v>
      </c>
      <c r="J110">
        <f t="shared" si="10"/>
        <v>5</v>
      </c>
      <c r="K110" s="14">
        <f t="shared" si="11"/>
        <v>11</v>
      </c>
      <c r="L110" t="str">
        <f t="shared" si="12"/>
        <v>Recent High-Value (One-Time)</v>
      </c>
    </row>
    <row r="111" spans="1:12" x14ac:dyDescent="0.3">
      <c r="A111" s="12" t="s">
        <v>920</v>
      </c>
      <c r="B111" s="14" t="str">
        <f>INDEX(orders!$F:$F,MATCH(A111,orders!$C:$C,0))</f>
        <v>Melania Beadle</v>
      </c>
      <c r="C111" s="15">
        <f>_xlfn.MAXIFS(orders!$B:$B,orders!$C:$C,A111)</f>
        <v>43855</v>
      </c>
      <c r="D111" s="14">
        <f t="shared" si="7"/>
        <v>938</v>
      </c>
      <c r="E111" s="14">
        <f>COUNTIFS(orders!$C:$C,A111)</f>
        <v>1</v>
      </c>
      <c r="F111" s="16">
        <f>SUMIFS(orders!$M:$M,orders!$C:$C,A111)</f>
        <v>3.5849999999999995</v>
      </c>
      <c r="G111" s="14" t="str">
        <f>INDEX(orders!$P:$P,MATCH(A111,orders!$C:$C,0))</f>
        <v>Yes</v>
      </c>
      <c r="H111" s="17">
        <f t="shared" si="8"/>
        <v>2</v>
      </c>
      <c r="I111" s="14">
        <f t="shared" si="9"/>
        <v>1</v>
      </c>
      <c r="J111">
        <f t="shared" si="10"/>
        <v>1</v>
      </c>
      <c r="K111" s="14">
        <f t="shared" si="11"/>
        <v>4</v>
      </c>
      <c r="L111" t="str">
        <f t="shared" si="12"/>
        <v>Lapsed One-Time Buyers</v>
      </c>
    </row>
    <row r="112" spans="1:12" x14ac:dyDescent="0.3">
      <c r="A112" s="12" t="s">
        <v>4186</v>
      </c>
      <c r="B112" s="14" t="str">
        <f>INDEX(orders!$F:$F,MATCH(A112,orders!$C:$C,0))</f>
        <v>Marvin Malloy</v>
      </c>
      <c r="C112" s="15">
        <f>_xlfn.MAXIFS(orders!$B:$B,orders!$C:$C,A112)</f>
        <v>43476</v>
      </c>
      <c r="D112" s="14">
        <f t="shared" si="7"/>
        <v>1317</v>
      </c>
      <c r="E112" s="14">
        <f>COUNTIFS(orders!$C:$C,A112)</f>
        <v>1</v>
      </c>
      <c r="F112" s="16">
        <f>SUMIFS(orders!$M:$M,orders!$C:$C,A112)</f>
        <v>68.655000000000001</v>
      </c>
      <c r="G112" s="14" t="str">
        <f>INDEX(orders!$P:$P,MATCH(A112,orders!$C:$C,0))</f>
        <v>No</v>
      </c>
      <c r="H112" s="17">
        <f t="shared" si="8"/>
        <v>1</v>
      </c>
      <c r="I112" s="14">
        <f t="shared" si="9"/>
        <v>1</v>
      </c>
      <c r="J112">
        <f t="shared" si="10"/>
        <v>4</v>
      </c>
      <c r="K112" s="14">
        <f t="shared" si="11"/>
        <v>6</v>
      </c>
      <c r="L112" t="str">
        <f t="shared" si="12"/>
        <v>Lapsed One-Time Buyers</v>
      </c>
    </row>
    <row r="113" spans="1:12" x14ac:dyDescent="0.3">
      <c r="A113" s="12" t="s">
        <v>1362</v>
      </c>
      <c r="B113" s="14" t="str">
        <f>INDEX(orders!$F:$F,MATCH(A113,orders!$C:$C,0))</f>
        <v>Grete Holborn</v>
      </c>
      <c r="C113" s="15">
        <f>_xlfn.MAXIFS(orders!$B:$B,orders!$C:$C,A113)</f>
        <v>43640</v>
      </c>
      <c r="D113" s="14">
        <f t="shared" si="7"/>
        <v>1153</v>
      </c>
      <c r="E113" s="14">
        <f>COUNTIFS(orders!$C:$C,A113)</f>
        <v>1</v>
      </c>
      <c r="F113" s="16">
        <f>SUMIFS(orders!$M:$M,orders!$C:$C,A113)</f>
        <v>155.24999999999997</v>
      </c>
      <c r="G113" s="14" t="str">
        <f>INDEX(orders!$P:$P,MATCH(A113,orders!$C:$C,0))</f>
        <v>Yes</v>
      </c>
      <c r="H113" s="17">
        <f t="shared" si="8"/>
        <v>1</v>
      </c>
      <c r="I113" s="14">
        <f t="shared" si="9"/>
        <v>1</v>
      </c>
      <c r="J113">
        <f t="shared" si="10"/>
        <v>5</v>
      </c>
      <c r="K113" s="14">
        <f t="shared" si="11"/>
        <v>7</v>
      </c>
      <c r="L113" t="str">
        <f t="shared" si="12"/>
        <v>Lapsed One-Time Buyers</v>
      </c>
    </row>
    <row r="114" spans="1:12" x14ac:dyDescent="0.3">
      <c r="A114" s="12" t="s">
        <v>1953</v>
      </c>
      <c r="B114" s="14" t="str">
        <f>INDEX(orders!$F:$F,MATCH(A114,orders!$C:$C,0))</f>
        <v>Irv Hay</v>
      </c>
      <c r="C114" s="15">
        <f>_xlfn.MAXIFS(orders!$B:$B,orders!$C:$C,A114)</f>
        <v>44355</v>
      </c>
      <c r="D114" s="14">
        <f t="shared" si="7"/>
        <v>438</v>
      </c>
      <c r="E114" s="14">
        <f>COUNTIFS(orders!$C:$C,A114)</f>
        <v>1</v>
      </c>
      <c r="F114" s="16">
        <f>SUMIFS(orders!$M:$M,orders!$C:$C,A114)</f>
        <v>5.97</v>
      </c>
      <c r="G114" s="14" t="str">
        <f>INDEX(orders!$P:$P,MATCH(A114,orders!$C:$C,0))</f>
        <v>No</v>
      </c>
      <c r="H114" s="17">
        <f t="shared" si="8"/>
        <v>4</v>
      </c>
      <c r="I114" s="14">
        <f t="shared" si="9"/>
        <v>1</v>
      </c>
      <c r="J114">
        <f t="shared" si="10"/>
        <v>1</v>
      </c>
      <c r="K114" s="14">
        <f t="shared" si="11"/>
        <v>6</v>
      </c>
      <c r="L114" t="str">
        <f t="shared" si="12"/>
        <v>Standard One-Time Buyers</v>
      </c>
    </row>
    <row r="115" spans="1:12" x14ac:dyDescent="0.3">
      <c r="A115" s="12" t="s">
        <v>4876</v>
      </c>
      <c r="B115" s="14" t="str">
        <f>INDEX(orders!$F:$F,MATCH(A115,orders!$C:$C,0))</f>
        <v>Jule Deehan</v>
      </c>
      <c r="C115" s="15">
        <f>_xlfn.MAXIFS(orders!$B:$B,orders!$C:$C,A115)</f>
        <v>44540</v>
      </c>
      <c r="D115" s="14">
        <f t="shared" si="7"/>
        <v>253</v>
      </c>
      <c r="E115" s="14">
        <f>COUNTIFS(orders!$C:$C,A115)</f>
        <v>1</v>
      </c>
      <c r="F115" s="16">
        <f>SUMIFS(orders!$M:$M,orders!$C:$C,A115)</f>
        <v>20.25</v>
      </c>
      <c r="G115" s="14" t="str">
        <f>INDEX(orders!$P:$P,MATCH(A115,orders!$C:$C,0))</f>
        <v>No</v>
      </c>
      <c r="H115" s="17">
        <f t="shared" si="8"/>
        <v>5</v>
      </c>
      <c r="I115" s="14">
        <f t="shared" si="9"/>
        <v>1</v>
      </c>
      <c r="J115">
        <f t="shared" si="10"/>
        <v>2</v>
      </c>
      <c r="K115" s="14">
        <f t="shared" si="11"/>
        <v>8</v>
      </c>
      <c r="L115" t="str">
        <f t="shared" si="12"/>
        <v>Standard One-Time Buyers</v>
      </c>
    </row>
    <row r="116" spans="1:12" x14ac:dyDescent="0.3">
      <c r="A116" s="12" t="s">
        <v>1329</v>
      </c>
      <c r="B116" s="14" t="str">
        <f>INDEX(orders!$F:$F,MATCH(A116,orders!$C:$C,0))</f>
        <v>Gerard Pirdy</v>
      </c>
      <c r="C116" s="15">
        <f>_xlfn.MAXIFS(orders!$B:$B,orders!$C:$C,A116)</f>
        <v>44108</v>
      </c>
      <c r="D116" s="14">
        <f t="shared" si="7"/>
        <v>685</v>
      </c>
      <c r="E116" s="14">
        <f>COUNTIFS(orders!$C:$C,A116)</f>
        <v>1</v>
      </c>
      <c r="F116" s="16">
        <f>SUMIFS(orders!$M:$M,orders!$C:$C,A116)</f>
        <v>51.749999999999993</v>
      </c>
      <c r="G116" s="14" t="str">
        <f>INDEX(orders!$P:$P,MATCH(A116,orders!$C:$C,0))</f>
        <v>Yes</v>
      </c>
      <c r="H116" s="17">
        <f t="shared" si="8"/>
        <v>3</v>
      </c>
      <c r="I116" s="14">
        <f t="shared" si="9"/>
        <v>1</v>
      </c>
      <c r="J116">
        <f t="shared" si="10"/>
        <v>4</v>
      </c>
      <c r="K116" s="14">
        <f t="shared" si="11"/>
        <v>8</v>
      </c>
      <c r="L116" t="str">
        <f t="shared" si="12"/>
        <v>Standard One-Time Buyers</v>
      </c>
    </row>
    <row r="117" spans="1:12" x14ac:dyDescent="0.3">
      <c r="A117" s="12" t="s">
        <v>2026</v>
      </c>
      <c r="B117" s="14" t="str">
        <f>INDEX(orders!$F:$F,MATCH(A117,orders!$C:$C,0))</f>
        <v>Zachariah Carlson</v>
      </c>
      <c r="C117" s="15">
        <f>_xlfn.MAXIFS(orders!$B:$B,orders!$C:$C,A117)</f>
        <v>44435</v>
      </c>
      <c r="D117" s="14">
        <f t="shared" si="7"/>
        <v>358</v>
      </c>
      <c r="E117" s="14">
        <f>COUNTIFS(orders!$C:$C,A117)</f>
        <v>1</v>
      </c>
      <c r="F117" s="16">
        <f>SUMIFS(orders!$M:$M,orders!$C:$C,A117)</f>
        <v>71.699999999999989</v>
      </c>
      <c r="G117" s="14" t="str">
        <f>INDEX(orders!$P:$P,MATCH(A117,orders!$C:$C,0))</f>
        <v>Yes</v>
      </c>
      <c r="H117" s="17">
        <f t="shared" si="8"/>
        <v>4</v>
      </c>
      <c r="I117" s="14">
        <f t="shared" si="9"/>
        <v>1</v>
      </c>
      <c r="J117">
        <f t="shared" si="10"/>
        <v>4</v>
      </c>
      <c r="K117" s="14">
        <f t="shared" si="11"/>
        <v>9</v>
      </c>
      <c r="L117" t="str">
        <f t="shared" si="12"/>
        <v>Recent High-Value (One-Time)</v>
      </c>
    </row>
    <row r="118" spans="1:12" x14ac:dyDescent="0.3">
      <c r="A118" s="12" t="s">
        <v>1850</v>
      </c>
      <c r="B118" s="14" t="str">
        <f>INDEX(orders!$F:$F,MATCH(A118,orders!$C:$C,0))</f>
        <v>Christel Speak</v>
      </c>
      <c r="C118" s="15">
        <f>_xlfn.MAXIFS(orders!$B:$B,orders!$C:$C,A118)</f>
        <v>44082</v>
      </c>
      <c r="D118" s="14">
        <f t="shared" si="7"/>
        <v>711</v>
      </c>
      <c r="E118" s="14">
        <f>COUNTIFS(orders!$C:$C,A118)</f>
        <v>1</v>
      </c>
      <c r="F118" s="16">
        <f>SUMIFS(orders!$M:$M,orders!$C:$C,A118)</f>
        <v>45.769999999999996</v>
      </c>
      <c r="G118" s="14" t="str">
        <f>INDEX(orders!$P:$P,MATCH(A118,orders!$C:$C,0))</f>
        <v>No</v>
      </c>
      <c r="H118" s="17">
        <f t="shared" si="8"/>
        <v>3</v>
      </c>
      <c r="I118" s="14">
        <f t="shared" si="9"/>
        <v>1</v>
      </c>
      <c r="J118">
        <f t="shared" si="10"/>
        <v>4</v>
      </c>
      <c r="K118" s="14">
        <f t="shared" si="11"/>
        <v>8</v>
      </c>
      <c r="L118" t="str">
        <f t="shared" si="12"/>
        <v>Standard One-Time Buyers</v>
      </c>
    </row>
    <row r="119" spans="1:12" x14ac:dyDescent="0.3">
      <c r="A119" s="12" t="s">
        <v>5118</v>
      </c>
      <c r="B119" s="14" t="str">
        <f>INDEX(orders!$F:$F,MATCH(A119,orders!$C:$C,0))</f>
        <v>Caddric Atcheson</v>
      </c>
      <c r="C119" s="15">
        <f>_xlfn.MAXIFS(orders!$B:$B,orders!$C:$C,A119)</f>
        <v>44008</v>
      </c>
      <c r="D119" s="14">
        <f t="shared" si="7"/>
        <v>785</v>
      </c>
      <c r="E119" s="14">
        <f>COUNTIFS(orders!$C:$C,A119)</f>
        <v>1</v>
      </c>
      <c r="F119" s="16">
        <f>SUMIFS(orders!$M:$M,orders!$C:$C,A119)</f>
        <v>4.7549999999999999</v>
      </c>
      <c r="G119" s="14" t="str">
        <f>INDEX(orders!$P:$P,MATCH(A119,orders!$C:$C,0))</f>
        <v>Yes</v>
      </c>
      <c r="H119" s="17">
        <f t="shared" si="8"/>
        <v>2</v>
      </c>
      <c r="I119" s="14">
        <f t="shared" si="9"/>
        <v>1</v>
      </c>
      <c r="J119">
        <f t="shared" si="10"/>
        <v>1</v>
      </c>
      <c r="K119" s="14">
        <f t="shared" si="11"/>
        <v>4</v>
      </c>
      <c r="L119" t="str">
        <f t="shared" si="12"/>
        <v>Lapsed One-Time Buyers</v>
      </c>
    </row>
    <row r="120" spans="1:12" x14ac:dyDescent="0.3">
      <c r="A120" s="12" t="s">
        <v>2380</v>
      </c>
      <c r="B120" s="14" t="str">
        <f>INDEX(orders!$F:$F,MATCH(A120,orders!$C:$C,0))</f>
        <v>Clement Vasiliev</v>
      </c>
      <c r="C120" s="15">
        <f>_xlfn.MAXIFS(orders!$B:$B,orders!$C:$C,A120)</f>
        <v>43885</v>
      </c>
      <c r="D120" s="14">
        <f t="shared" si="7"/>
        <v>908</v>
      </c>
      <c r="E120" s="14">
        <f>COUNTIFS(orders!$C:$C,A120)</f>
        <v>1</v>
      </c>
      <c r="F120" s="16">
        <f>SUMIFS(orders!$M:$M,orders!$C:$C,A120)</f>
        <v>28.53</v>
      </c>
      <c r="G120" s="14" t="str">
        <f>INDEX(orders!$P:$P,MATCH(A120,orders!$C:$C,0))</f>
        <v>Yes</v>
      </c>
      <c r="H120" s="17">
        <f t="shared" si="8"/>
        <v>2</v>
      </c>
      <c r="I120" s="14">
        <f t="shared" si="9"/>
        <v>1</v>
      </c>
      <c r="J120">
        <f t="shared" si="10"/>
        <v>3</v>
      </c>
      <c r="K120" s="14">
        <f t="shared" si="11"/>
        <v>6</v>
      </c>
      <c r="L120" t="str">
        <f t="shared" si="12"/>
        <v>Lapsed One-Time Buyers</v>
      </c>
    </row>
    <row r="121" spans="1:12" x14ac:dyDescent="0.3">
      <c r="A121" s="12" t="s">
        <v>2840</v>
      </c>
      <c r="B121" s="14" t="str">
        <f>INDEX(orders!$F:$F,MATCH(A121,orders!$C:$C,0))</f>
        <v>Paula Denis</v>
      </c>
      <c r="C121" s="15">
        <f>_xlfn.MAXIFS(orders!$B:$B,orders!$C:$C,A121)</f>
        <v>44457</v>
      </c>
      <c r="D121" s="14">
        <f t="shared" si="7"/>
        <v>336</v>
      </c>
      <c r="E121" s="14">
        <f>COUNTIFS(orders!$C:$C,A121)</f>
        <v>1</v>
      </c>
      <c r="F121" s="16">
        <f>SUMIFS(orders!$M:$M,orders!$C:$C,A121)</f>
        <v>29.784999999999997</v>
      </c>
      <c r="G121" s="14" t="str">
        <f>INDEX(orders!$P:$P,MATCH(A121,orders!$C:$C,0))</f>
        <v>Yes</v>
      </c>
      <c r="H121" s="17">
        <f t="shared" si="8"/>
        <v>4</v>
      </c>
      <c r="I121" s="14">
        <f t="shared" si="9"/>
        <v>1</v>
      </c>
      <c r="J121">
        <f t="shared" si="10"/>
        <v>3</v>
      </c>
      <c r="K121" s="14">
        <f t="shared" si="11"/>
        <v>8</v>
      </c>
      <c r="L121" t="str">
        <f t="shared" si="12"/>
        <v>Standard One-Time Buyers</v>
      </c>
    </row>
    <row r="122" spans="1:12" x14ac:dyDescent="0.3">
      <c r="A122" s="12" t="s">
        <v>5229</v>
      </c>
      <c r="B122" s="14" t="str">
        <f>INDEX(orders!$F:$F,MATCH(A122,orders!$C:$C,0))</f>
        <v>Romain Avrashin</v>
      </c>
      <c r="C122" s="15">
        <f>_xlfn.MAXIFS(orders!$B:$B,orders!$C:$C,A122)</f>
        <v>44755</v>
      </c>
      <c r="D122" s="14">
        <f t="shared" si="7"/>
        <v>38</v>
      </c>
      <c r="E122" s="14">
        <f>COUNTIFS(orders!$C:$C,A122)</f>
        <v>1</v>
      </c>
      <c r="F122" s="16">
        <f>SUMIFS(orders!$M:$M,orders!$C:$C,A122)</f>
        <v>114.42499999999998</v>
      </c>
      <c r="G122" s="14" t="str">
        <f>INDEX(orders!$P:$P,MATCH(A122,orders!$C:$C,0))</f>
        <v>No</v>
      </c>
      <c r="H122" s="17">
        <f t="shared" si="8"/>
        <v>5</v>
      </c>
      <c r="I122" s="14">
        <f t="shared" si="9"/>
        <v>1</v>
      </c>
      <c r="J122">
        <f t="shared" si="10"/>
        <v>5</v>
      </c>
      <c r="K122" s="14">
        <f t="shared" si="11"/>
        <v>11</v>
      </c>
      <c r="L122" t="str">
        <f t="shared" si="12"/>
        <v>Recent High-Value (One-Time)</v>
      </c>
    </row>
    <row r="123" spans="1:12" x14ac:dyDescent="0.3">
      <c r="A123" s="12" t="s">
        <v>3628</v>
      </c>
      <c r="B123" s="14" t="str">
        <f>INDEX(orders!$F:$F,MATCH(A123,orders!$C:$C,0))</f>
        <v>Sigfrid Busch</v>
      </c>
      <c r="C123" s="15">
        <f>_xlfn.MAXIFS(orders!$B:$B,orders!$C:$C,A123)</f>
        <v>44258</v>
      </c>
      <c r="D123" s="14">
        <f t="shared" si="7"/>
        <v>535</v>
      </c>
      <c r="E123" s="14">
        <f>COUNTIFS(orders!$C:$C,A123)</f>
        <v>1</v>
      </c>
      <c r="F123" s="16">
        <f>SUMIFS(orders!$M:$M,orders!$C:$C,A123)</f>
        <v>82.5</v>
      </c>
      <c r="G123" s="14" t="str">
        <f>INDEX(orders!$P:$P,MATCH(A123,orders!$C:$C,0))</f>
        <v>No</v>
      </c>
      <c r="H123" s="17">
        <f t="shared" si="8"/>
        <v>3</v>
      </c>
      <c r="I123" s="14">
        <f t="shared" si="9"/>
        <v>1</v>
      </c>
      <c r="J123">
        <f t="shared" si="10"/>
        <v>5</v>
      </c>
      <c r="K123" s="14">
        <f t="shared" si="11"/>
        <v>9</v>
      </c>
      <c r="L123" t="str">
        <f t="shared" si="12"/>
        <v>Standard One-Time Buyers</v>
      </c>
    </row>
    <row r="124" spans="1:12" x14ac:dyDescent="0.3">
      <c r="A124" s="12" t="s">
        <v>5263</v>
      </c>
      <c r="B124" s="14" t="str">
        <f>INDEX(orders!$F:$F,MATCH(A124,orders!$C:$C,0))</f>
        <v>Adelheid Gladhill</v>
      </c>
      <c r="C124" s="15">
        <f>_xlfn.MAXIFS(orders!$B:$B,orders!$C:$C,A124)</f>
        <v>44476</v>
      </c>
      <c r="D124" s="14">
        <f t="shared" si="7"/>
        <v>317</v>
      </c>
      <c r="E124" s="14">
        <f>COUNTIFS(orders!$C:$C,A124)</f>
        <v>1</v>
      </c>
      <c r="F124" s="16">
        <f>SUMIFS(orders!$M:$M,orders!$C:$C,A124)</f>
        <v>35.82</v>
      </c>
      <c r="G124" s="14" t="str">
        <f>INDEX(orders!$P:$P,MATCH(A124,orders!$C:$C,0))</f>
        <v>Yes</v>
      </c>
      <c r="H124" s="17">
        <f t="shared" si="8"/>
        <v>4</v>
      </c>
      <c r="I124" s="14">
        <f t="shared" si="9"/>
        <v>1</v>
      </c>
      <c r="J124">
        <f t="shared" si="10"/>
        <v>3</v>
      </c>
      <c r="K124" s="14">
        <f t="shared" si="11"/>
        <v>8</v>
      </c>
      <c r="L124" t="str">
        <f t="shared" si="12"/>
        <v>Standard One-Time Buyers</v>
      </c>
    </row>
    <row r="125" spans="1:12" x14ac:dyDescent="0.3">
      <c r="A125" s="12" t="s">
        <v>3997</v>
      </c>
      <c r="B125" s="14" t="str">
        <f>INDEX(orders!$F:$F,MATCH(A125,orders!$C:$C,0))</f>
        <v>Cordy Odgaard</v>
      </c>
      <c r="C125" s="15">
        <f>_xlfn.MAXIFS(orders!$B:$B,orders!$C:$C,A125)</f>
        <v>44006</v>
      </c>
      <c r="D125" s="14">
        <f t="shared" si="7"/>
        <v>787</v>
      </c>
      <c r="E125" s="14">
        <f>COUNTIFS(orders!$C:$C,A125)</f>
        <v>1</v>
      </c>
      <c r="F125" s="16">
        <f>SUMIFS(orders!$M:$M,orders!$C:$C,A125)</f>
        <v>77.699999999999989</v>
      </c>
      <c r="G125" s="14" t="str">
        <f>INDEX(orders!$P:$P,MATCH(A125,orders!$C:$C,0))</f>
        <v>No</v>
      </c>
      <c r="H125" s="17">
        <f t="shared" si="8"/>
        <v>2</v>
      </c>
      <c r="I125" s="14">
        <f t="shared" si="9"/>
        <v>1</v>
      </c>
      <c r="J125">
        <f t="shared" si="10"/>
        <v>4</v>
      </c>
      <c r="K125" s="14">
        <f t="shared" si="11"/>
        <v>7</v>
      </c>
      <c r="L125" t="str">
        <f t="shared" si="12"/>
        <v>Lapsed One-Time Buyers</v>
      </c>
    </row>
    <row r="126" spans="1:12" x14ac:dyDescent="0.3">
      <c r="A126" s="12" t="s">
        <v>1044</v>
      </c>
      <c r="B126" s="14" t="str">
        <f>INDEX(orders!$F:$F,MATCH(A126,orders!$C:$C,0))</f>
        <v>Aube Follett</v>
      </c>
      <c r="C126" s="15">
        <f>_xlfn.MAXIFS(orders!$B:$B,orders!$C:$C,A126)</f>
        <v>44139</v>
      </c>
      <c r="D126" s="14">
        <f t="shared" si="7"/>
        <v>654</v>
      </c>
      <c r="E126" s="14">
        <f>COUNTIFS(orders!$C:$C,A126)</f>
        <v>1</v>
      </c>
      <c r="F126" s="16">
        <f>SUMIFS(orders!$M:$M,orders!$C:$C,A126)</f>
        <v>13.095000000000001</v>
      </c>
      <c r="G126" s="14" t="str">
        <f>INDEX(orders!$P:$P,MATCH(A126,orders!$C:$C,0))</f>
        <v>Yes</v>
      </c>
      <c r="H126" s="17">
        <f t="shared" si="8"/>
        <v>3</v>
      </c>
      <c r="I126" s="14">
        <f t="shared" si="9"/>
        <v>1</v>
      </c>
      <c r="J126">
        <f t="shared" si="10"/>
        <v>1</v>
      </c>
      <c r="K126" s="14">
        <f t="shared" si="11"/>
        <v>5</v>
      </c>
      <c r="L126" t="str">
        <f t="shared" si="12"/>
        <v>Standard One-Time Buyers</v>
      </c>
    </row>
    <row r="127" spans="1:12" x14ac:dyDescent="0.3">
      <c r="A127" s="12" t="s">
        <v>5716</v>
      </c>
      <c r="B127" s="14" t="str">
        <f>INDEX(orders!$F:$F,MATCH(A127,orders!$C:$C,0))</f>
        <v>Celie MacCourt</v>
      </c>
      <c r="C127" s="15">
        <f>_xlfn.MAXIFS(orders!$B:$B,orders!$C:$C,A127)</f>
        <v>44451</v>
      </c>
      <c r="D127" s="14">
        <f t="shared" si="7"/>
        <v>342</v>
      </c>
      <c r="E127" s="14">
        <f>COUNTIFS(orders!$C:$C,A127)</f>
        <v>1</v>
      </c>
      <c r="F127" s="16">
        <f>SUMIFS(orders!$M:$M,orders!$C:$C,A127)</f>
        <v>89.35499999999999</v>
      </c>
      <c r="G127" s="14" t="str">
        <f>INDEX(orders!$P:$P,MATCH(A127,orders!$C:$C,0))</f>
        <v>No</v>
      </c>
      <c r="H127" s="17">
        <f t="shared" si="8"/>
        <v>4</v>
      </c>
      <c r="I127" s="14">
        <f t="shared" si="9"/>
        <v>1</v>
      </c>
      <c r="J127">
        <f t="shared" si="10"/>
        <v>5</v>
      </c>
      <c r="K127" s="14">
        <f t="shared" si="11"/>
        <v>10</v>
      </c>
      <c r="L127" t="str">
        <f t="shared" si="12"/>
        <v>Recent High-Value (One-Time)</v>
      </c>
    </row>
    <row r="128" spans="1:12" x14ac:dyDescent="0.3">
      <c r="A128" s="12" t="s">
        <v>4424</v>
      </c>
      <c r="B128" s="14" t="str">
        <f>INDEX(orders!$F:$F,MATCH(A128,orders!$C:$C,0))</f>
        <v>Johna Bluck</v>
      </c>
      <c r="C128" s="15">
        <f>_xlfn.MAXIFS(orders!$B:$B,orders!$C:$C,A128)</f>
        <v>43693</v>
      </c>
      <c r="D128" s="14">
        <f t="shared" si="7"/>
        <v>1100</v>
      </c>
      <c r="E128" s="14">
        <f>COUNTIFS(orders!$C:$C,A128)</f>
        <v>1</v>
      </c>
      <c r="F128" s="16">
        <f>SUMIFS(orders!$M:$M,orders!$C:$C,A128)</f>
        <v>31.08</v>
      </c>
      <c r="G128" s="14" t="str">
        <f>INDEX(orders!$P:$P,MATCH(A128,orders!$C:$C,0))</f>
        <v>No</v>
      </c>
      <c r="H128" s="17">
        <f t="shared" si="8"/>
        <v>1</v>
      </c>
      <c r="I128" s="14">
        <f t="shared" si="9"/>
        <v>1</v>
      </c>
      <c r="J128">
        <f t="shared" si="10"/>
        <v>3</v>
      </c>
      <c r="K128" s="14">
        <f t="shared" si="11"/>
        <v>5</v>
      </c>
      <c r="L128" t="str">
        <f t="shared" si="12"/>
        <v>Lapsed One-Time Buyers</v>
      </c>
    </row>
    <row r="129" spans="1:12" x14ac:dyDescent="0.3">
      <c r="A129" s="12" t="s">
        <v>3830</v>
      </c>
      <c r="B129" s="14" t="str">
        <f>INDEX(orders!$F:$F,MATCH(A129,orders!$C:$C,0))</f>
        <v>Jennifer Wilkisson</v>
      </c>
      <c r="C129" s="15">
        <f>_xlfn.MAXIFS(orders!$B:$B,orders!$C:$C,A129)</f>
        <v>43587</v>
      </c>
      <c r="D129" s="14">
        <f t="shared" si="7"/>
        <v>1206</v>
      </c>
      <c r="E129" s="14">
        <f>COUNTIFS(orders!$C:$C,A129)</f>
        <v>1</v>
      </c>
      <c r="F129" s="16">
        <f>SUMIFS(orders!$M:$M,orders!$C:$C,A129)</f>
        <v>8.0549999999999997</v>
      </c>
      <c r="G129" s="14" t="str">
        <f>INDEX(orders!$P:$P,MATCH(A129,orders!$C:$C,0))</f>
        <v>Yes</v>
      </c>
      <c r="H129" s="17">
        <f t="shared" si="8"/>
        <v>1</v>
      </c>
      <c r="I129" s="14">
        <f t="shared" si="9"/>
        <v>1</v>
      </c>
      <c r="J129">
        <f t="shared" si="10"/>
        <v>1</v>
      </c>
      <c r="K129" s="14">
        <f t="shared" si="11"/>
        <v>3</v>
      </c>
      <c r="L129" t="str">
        <f t="shared" si="12"/>
        <v>Lapsed One-Time Buyers</v>
      </c>
    </row>
    <row r="130" spans="1:12" x14ac:dyDescent="0.3">
      <c r="A130" s="12" t="s">
        <v>1754</v>
      </c>
      <c r="B130" s="14" t="str">
        <f>INDEX(orders!$F:$F,MATCH(A130,orders!$C:$C,0))</f>
        <v>Ketty Bromehead</v>
      </c>
      <c r="C130" s="15">
        <f>_xlfn.MAXIFS(orders!$B:$B,orders!$C:$C,A130)</f>
        <v>43836</v>
      </c>
      <c r="D130" s="14">
        <f t="shared" si="7"/>
        <v>957</v>
      </c>
      <c r="E130" s="14">
        <f>COUNTIFS(orders!$C:$C,A130)</f>
        <v>1</v>
      </c>
      <c r="F130" s="16">
        <f>SUMIFS(orders!$M:$M,orders!$C:$C,A130)</f>
        <v>119.13999999999999</v>
      </c>
      <c r="G130" s="14" t="str">
        <f>INDEX(orders!$P:$P,MATCH(A130,orders!$C:$C,0))</f>
        <v>Yes</v>
      </c>
      <c r="H130" s="17">
        <f t="shared" si="8"/>
        <v>2</v>
      </c>
      <c r="I130" s="14">
        <f t="shared" si="9"/>
        <v>1</v>
      </c>
      <c r="J130">
        <f t="shared" si="10"/>
        <v>5</v>
      </c>
      <c r="K130" s="14">
        <f t="shared" si="11"/>
        <v>8</v>
      </c>
      <c r="L130" t="str">
        <f t="shared" si="12"/>
        <v>Lapsed One-Time Buyers</v>
      </c>
    </row>
    <row r="131" spans="1:12" x14ac:dyDescent="0.3">
      <c r="A131" s="12" t="s">
        <v>1019</v>
      </c>
      <c r="B131" s="14" t="str">
        <f>INDEX(orders!$F:$F,MATCH(A131,orders!$C:$C,0))</f>
        <v>Rudy Farquharson</v>
      </c>
      <c r="C131" s="15">
        <f>_xlfn.MAXIFS(orders!$B:$B,orders!$C:$C,A131)</f>
        <v>44014</v>
      </c>
      <c r="D131" s="14">
        <f t="shared" si="7"/>
        <v>779</v>
      </c>
      <c r="E131" s="14">
        <f>COUNTIFS(orders!$C:$C,A131)</f>
        <v>1</v>
      </c>
      <c r="F131" s="16">
        <f>SUMIFS(orders!$M:$M,orders!$C:$C,A131)</f>
        <v>17.91</v>
      </c>
      <c r="G131" s="14" t="str">
        <f>INDEX(orders!$P:$P,MATCH(A131,orders!$C:$C,0))</f>
        <v>Yes</v>
      </c>
      <c r="H131" s="17">
        <f t="shared" si="8"/>
        <v>2</v>
      </c>
      <c r="I131" s="14">
        <f t="shared" si="9"/>
        <v>1</v>
      </c>
      <c r="J131">
        <f t="shared" si="10"/>
        <v>2</v>
      </c>
      <c r="K131" s="14">
        <f t="shared" si="11"/>
        <v>5</v>
      </c>
      <c r="L131" t="str">
        <f t="shared" si="12"/>
        <v>Lapsed One-Time Buyers</v>
      </c>
    </row>
    <row r="132" spans="1:12" x14ac:dyDescent="0.3">
      <c r="A132" s="12" t="s">
        <v>700</v>
      </c>
      <c r="B132" s="14" t="str">
        <f>INDEX(orders!$F:$F,MATCH(A132,orders!$C:$C,0))</f>
        <v>Silvio Strase</v>
      </c>
      <c r="C132" s="15">
        <f>_xlfn.MAXIFS(orders!$B:$B,orders!$C:$C,A132)</f>
        <v>43580</v>
      </c>
      <c r="D132" s="14">
        <f t="shared" si="7"/>
        <v>1213</v>
      </c>
      <c r="E132" s="14">
        <f>COUNTIFS(orders!$C:$C,A132)</f>
        <v>1</v>
      </c>
      <c r="F132" s="16">
        <f>SUMIFS(orders!$M:$M,orders!$C:$C,A132)</f>
        <v>28.53</v>
      </c>
      <c r="G132" s="14" t="str">
        <f>INDEX(orders!$P:$P,MATCH(A132,orders!$C:$C,0))</f>
        <v>No</v>
      </c>
      <c r="H132" s="17">
        <f t="shared" si="8"/>
        <v>1</v>
      </c>
      <c r="I132" s="14">
        <f t="shared" si="9"/>
        <v>1</v>
      </c>
      <c r="J132">
        <f t="shared" si="10"/>
        <v>3</v>
      </c>
      <c r="K132" s="14">
        <f t="shared" si="11"/>
        <v>5</v>
      </c>
      <c r="L132" t="str">
        <f t="shared" si="12"/>
        <v>Lapsed One-Time Buyers</v>
      </c>
    </row>
    <row r="133" spans="1:12" x14ac:dyDescent="0.3">
      <c r="A133" s="12" t="s">
        <v>3249</v>
      </c>
      <c r="B133" s="14" t="str">
        <f>INDEX(orders!$F:$F,MATCH(A133,orders!$C:$C,0))</f>
        <v>Becky Semkins</v>
      </c>
      <c r="C133" s="15">
        <f>_xlfn.MAXIFS(orders!$B:$B,orders!$C:$C,A133)</f>
        <v>43954</v>
      </c>
      <c r="D133" s="14">
        <f t="shared" si="7"/>
        <v>839</v>
      </c>
      <c r="E133" s="14">
        <f>COUNTIFS(orders!$C:$C,A133)</f>
        <v>1</v>
      </c>
      <c r="F133" s="16">
        <f>SUMIFS(orders!$M:$M,orders!$C:$C,A133)</f>
        <v>14.924999999999999</v>
      </c>
      <c r="G133" s="14" t="str">
        <f>INDEX(orders!$P:$P,MATCH(A133,orders!$C:$C,0))</f>
        <v>Yes</v>
      </c>
      <c r="H133" s="17">
        <f t="shared" si="8"/>
        <v>2</v>
      </c>
      <c r="I133" s="14">
        <f t="shared" si="9"/>
        <v>1</v>
      </c>
      <c r="J133">
        <f t="shared" si="10"/>
        <v>2</v>
      </c>
      <c r="K133" s="14">
        <f t="shared" si="11"/>
        <v>5</v>
      </c>
      <c r="L133" t="str">
        <f t="shared" si="12"/>
        <v>Lapsed One-Time Buyers</v>
      </c>
    </row>
    <row r="134" spans="1:12" x14ac:dyDescent="0.3">
      <c r="A134" s="12" t="s">
        <v>879</v>
      </c>
      <c r="B134" s="14" t="str">
        <f>INDEX(orders!$F:$F,MATCH(A134,orders!$C:$C,0))</f>
        <v>Gay Rizzello</v>
      </c>
      <c r="C134" s="15">
        <f>_xlfn.MAXIFS(orders!$B:$B,orders!$C:$C,A134)</f>
        <v>43795</v>
      </c>
      <c r="D134" s="14">
        <f t="shared" ref="D134:D197" si="13">$B$1-C134</f>
        <v>998</v>
      </c>
      <c r="E134" s="14">
        <f>COUNTIFS(orders!$C:$C,A134)</f>
        <v>1</v>
      </c>
      <c r="F134" s="16">
        <f>SUMIFS(orders!$M:$M,orders!$C:$C,A134)</f>
        <v>59.699999999999996</v>
      </c>
      <c r="G134" s="14" t="str">
        <f>INDEX(orders!$P:$P,MATCH(A134,orders!$C:$C,0))</f>
        <v>Yes</v>
      </c>
      <c r="H134" s="17">
        <f t="shared" ref="H134:H197" si="14">IF(D134&lt;=$E$1,5,IF(D134&lt;=$F$1,4,IF(D134&lt;=$G$1,3,IF(D134&lt;=$H$1,2,1))))</f>
        <v>2</v>
      </c>
      <c r="I134" s="14">
        <f t="shared" ref="I134:I197" si="15">IF(E134&lt;=1,1,IF(E134&lt;=2,3,5))</f>
        <v>1</v>
      </c>
      <c r="J134">
        <f t="shared" ref="J134:J197" si="16">IF(F134&lt;=PERCENTILE($F$5:$F$917,0.2),1,IF(F134&lt;=PERCENTILE($F$5:$F$917,0.4),2,IF(F134&lt;=PERCENTILE($F$5:$F$917,0.6),3,IF(F134&lt;=PERCENTILE($F$5:$F$917,0.8),4,5))))</f>
        <v>4</v>
      </c>
      <c r="K134" s="14">
        <f t="shared" ref="K134:K197" si="17">H134+I134+J134</f>
        <v>7</v>
      </c>
      <c r="L134" t="str">
        <f t="shared" ref="L134:L197" si="18">IF(AND(E134&gt;=2,H134&gt;=4),"Loyal Repeat Customers",IF(E134&gt;=2,"At-Risk Repeat Customers",IF(AND(H134&gt;=4,J134&gt;=4),"Recent High-Value (One-Time)",IF(H134&lt;=2,"Lapsed One-Time Buyers","Standard One-Time Buyers"))))</f>
        <v>Lapsed One-Time Buyers</v>
      </c>
    </row>
    <row r="135" spans="1:12" x14ac:dyDescent="0.3">
      <c r="A135" s="12" t="s">
        <v>2918</v>
      </c>
      <c r="B135" s="14" t="str">
        <f>INDEX(orders!$F:$F,MATCH(A135,orders!$C:$C,0))</f>
        <v>Witty Ranson</v>
      </c>
      <c r="C135" s="15">
        <f>_xlfn.MAXIFS(orders!$B:$B,orders!$C:$C,A135)</f>
        <v>44291</v>
      </c>
      <c r="D135" s="14">
        <f t="shared" si="13"/>
        <v>502</v>
      </c>
      <c r="E135" s="14">
        <f>COUNTIFS(orders!$C:$C,A135)</f>
        <v>1</v>
      </c>
      <c r="F135" s="16">
        <f>SUMIFS(orders!$M:$M,orders!$C:$C,A135)</f>
        <v>83.835000000000008</v>
      </c>
      <c r="G135" s="14" t="str">
        <f>INDEX(orders!$P:$P,MATCH(A135,orders!$C:$C,0))</f>
        <v>Yes</v>
      </c>
      <c r="H135" s="17">
        <f t="shared" si="14"/>
        <v>4</v>
      </c>
      <c r="I135" s="14">
        <f t="shared" si="15"/>
        <v>1</v>
      </c>
      <c r="J135">
        <f t="shared" si="16"/>
        <v>5</v>
      </c>
      <c r="K135" s="14">
        <f t="shared" si="17"/>
        <v>10</v>
      </c>
      <c r="L135" t="str">
        <f t="shared" si="18"/>
        <v>Recent High-Value (One-Time)</v>
      </c>
    </row>
    <row r="136" spans="1:12" x14ac:dyDescent="0.3">
      <c r="A136" s="12" t="s">
        <v>656</v>
      </c>
      <c r="B136" s="14" t="str">
        <f>INDEX(orders!$F:$F,MATCH(A136,orders!$C:$C,0))</f>
        <v>Mozelle Calcutt</v>
      </c>
      <c r="C136" s="15">
        <f>_xlfn.MAXIFS(orders!$B:$B,orders!$C:$C,A136)</f>
        <v>43516</v>
      </c>
      <c r="D136" s="14">
        <f t="shared" si="13"/>
        <v>1277</v>
      </c>
      <c r="E136" s="14">
        <f>COUNTIFS(orders!$C:$C,A136)</f>
        <v>1</v>
      </c>
      <c r="F136" s="16">
        <f>SUMIFS(orders!$M:$M,orders!$C:$C,A136)</f>
        <v>39.799999999999997</v>
      </c>
      <c r="G136" s="14" t="str">
        <f>INDEX(orders!$P:$P,MATCH(A136,orders!$C:$C,0))</f>
        <v>Yes</v>
      </c>
      <c r="H136" s="17">
        <f t="shared" si="14"/>
        <v>1</v>
      </c>
      <c r="I136" s="14">
        <f t="shared" si="15"/>
        <v>1</v>
      </c>
      <c r="J136">
        <f t="shared" si="16"/>
        <v>3</v>
      </c>
      <c r="K136" s="14">
        <f t="shared" si="17"/>
        <v>5</v>
      </c>
      <c r="L136" t="str">
        <f t="shared" si="18"/>
        <v>Lapsed One-Time Buyers</v>
      </c>
    </row>
    <row r="137" spans="1:12" x14ac:dyDescent="0.3">
      <c r="A137" s="12" t="s">
        <v>855</v>
      </c>
      <c r="B137" s="14" t="str">
        <f>INDEX(orders!$F:$F,MATCH(A137,orders!$C:$C,0))</f>
        <v>Angelia Cockrem</v>
      </c>
      <c r="C137" s="15">
        <f>_xlfn.MAXIFS(orders!$B:$B,orders!$C:$C,A137)</f>
        <v>44626</v>
      </c>
      <c r="D137" s="14">
        <f t="shared" si="13"/>
        <v>167</v>
      </c>
      <c r="E137" s="14">
        <f>COUNTIFS(orders!$C:$C,A137)</f>
        <v>1</v>
      </c>
      <c r="F137" s="16">
        <f>SUMIFS(orders!$M:$M,orders!$C:$C,A137)</f>
        <v>82.339999999999989</v>
      </c>
      <c r="G137" s="14" t="str">
        <f>INDEX(orders!$P:$P,MATCH(A137,orders!$C:$C,0))</f>
        <v>Yes</v>
      </c>
      <c r="H137" s="17">
        <f t="shared" si="14"/>
        <v>5</v>
      </c>
      <c r="I137" s="14">
        <f t="shared" si="15"/>
        <v>1</v>
      </c>
      <c r="J137">
        <f t="shared" si="16"/>
        <v>5</v>
      </c>
      <c r="K137" s="14">
        <f t="shared" si="17"/>
        <v>11</v>
      </c>
      <c r="L137" t="str">
        <f t="shared" si="18"/>
        <v>Recent High-Value (One-Time)</v>
      </c>
    </row>
    <row r="138" spans="1:12" x14ac:dyDescent="0.3">
      <c r="A138" s="12" t="s">
        <v>5798</v>
      </c>
      <c r="B138" s="14" t="str">
        <f>INDEX(orders!$F:$F,MATCH(A138,orders!$C:$C,0))</f>
        <v>Willy Pummery</v>
      </c>
      <c r="C138" s="15">
        <f>_xlfn.MAXIFS(orders!$B:$B,orders!$C:$C,A138)</f>
        <v>44229</v>
      </c>
      <c r="D138" s="14">
        <f t="shared" si="13"/>
        <v>564</v>
      </c>
      <c r="E138" s="14">
        <f>COUNTIFS(orders!$C:$C,A138)</f>
        <v>1</v>
      </c>
      <c r="F138" s="16">
        <f>SUMIFS(orders!$M:$M,orders!$C:$C,A138)</f>
        <v>28.53</v>
      </c>
      <c r="G138" s="14" t="str">
        <f>INDEX(orders!$P:$P,MATCH(A138,orders!$C:$C,0))</f>
        <v>No</v>
      </c>
      <c r="H138" s="17">
        <f t="shared" si="14"/>
        <v>3</v>
      </c>
      <c r="I138" s="14">
        <f t="shared" si="15"/>
        <v>1</v>
      </c>
      <c r="J138">
        <f t="shared" si="16"/>
        <v>3</v>
      </c>
      <c r="K138" s="14">
        <f t="shared" si="17"/>
        <v>7</v>
      </c>
      <c r="L138" t="str">
        <f t="shared" si="18"/>
        <v>Standard One-Time Buyers</v>
      </c>
    </row>
    <row r="139" spans="1:12" x14ac:dyDescent="0.3">
      <c r="A139" s="12" t="s">
        <v>2804</v>
      </c>
      <c r="B139" s="14" t="str">
        <f>INDEX(orders!$F:$F,MATCH(A139,orders!$C:$C,0))</f>
        <v>Giordano Lorenzin</v>
      </c>
      <c r="C139" s="15">
        <f>_xlfn.MAXIFS(orders!$B:$B,orders!$C:$C,A139)</f>
        <v>44441</v>
      </c>
      <c r="D139" s="14">
        <f t="shared" si="13"/>
        <v>352</v>
      </c>
      <c r="E139" s="14">
        <f>COUNTIFS(orders!$C:$C,A139)</f>
        <v>1</v>
      </c>
      <c r="F139" s="16">
        <f>SUMIFS(orders!$M:$M,orders!$C:$C,A139)</f>
        <v>15.54</v>
      </c>
      <c r="G139" s="14" t="str">
        <f>INDEX(orders!$P:$P,MATCH(A139,orders!$C:$C,0))</f>
        <v>No</v>
      </c>
      <c r="H139" s="17">
        <f t="shared" si="14"/>
        <v>4</v>
      </c>
      <c r="I139" s="14">
        <f t="shared" si="15"/>
        <v>1</v>
      </c>
      <c r="J139">
        <f t="shared" si="16"/>
        <v>2</v>
      </c>
      <c r="K139" s="14">
        <f t="shared" si="17"/>
        <v>7</v>
      </c>
      <c r="L139" t="str">
        <f t="shared" si="18"/>
        <v>Standard One-Time Buyers</v>
      </c>
    </row>
    <row r="140" spans="1:12" x14ac:dyDescent="0.3">
      <c r="A140" s="12" t="s">
        <v>1861</v>
      </c>
      <c r="B140" s="14" t="str">
        <f>INDEX(orders!$F:$F,MATCH(A140,orders!$C:$C,0))</f>
        <v>Tammie Drynan</v>
      </c>
      <c r="C140" s="15">
        <f>_xlfn.MAXIFS(orders!$B:$B,orders!$C:$C,A140)</f>
        <v>44114</v>
      </c>
      <c r="D140" s="14">
        <f t="shared" si="13"/>
        <v>679</v>
      </c>
      <c r="E140" s="14">
        <f>COUNTIFS(orders!$C:$C,A140)</f>
        <v>1</v>
      </c>
      <c r="F140" s="16">
        <f>SUMIFS(orders!$M:$M,orders!$C:$C,A140)</f>
        <v>29.16</v>
      </c>
      <c r="G140" s="14" t="str">
        <f>INDEX(orders!$P:$P,MATCH(A140,orders!$C:$C,0))</f>
        <v>Yes</v>
      </c>
      <c r="H140" s="17">
        <f t="shared" si="14"/>
        <v>3</v>
      </c>
      <c r="I140" s="14">
        <f t="shared" si="15"/>
        <v>1</v>
      </c>
      <c r="J140">
        <f t="shared" si="16"/>
        <v>3</v>
      </c>
      <c r="K140" s="14">
        <f t="shared" si="17"/>
        <v>7</v>
      </c>
      <c r="L140" t="str">
        <f t="shared" si="18"/>
        <v>Standard One-Time Buyers</v>
      </c>
    </row>
    <row r="141" spans="1:12" x14ac:dyDescent="0.3">
      <c r="A141" s="12" t="s">
        <v>3946</v>
      </c>
      <c r="B141" s="14" t="str">
        <f>INDEX(orders!$F:$F,MATCH(A141,orders!$C:$C,0))</f>
        <v>Betti Lacasa</v>
      </c>
      <c r="C141" s="15">
        <f>_xlfn.MAXIFS(orders!$B:$B,orders!$C:$C,A141)</f>
        <v>43896</v>
      </c>
      <c r="D141" s="14">
        <f t="shared" si="13"/>
        <v>897</v>
      </c>
      <c r="E141" s="14">
        <f>COUNTIFS(orders!$C:$C,A141)</f>
        <v>1</v>
      </c>
      <c r="F141" s="16">
        <f>SUMIFS(orders!$M:$M,orders!$C:$C,A141)</f>
        <v>13.5</v>
      </c>
      <c r="G141" s="14" t="str">
        <f>INDEX(orders!$P:$P,MATCH(A141,orders!$C:$C,0))</f>
        <v>No</v>
      </c>
      <c r="H141" s="17">
        <f t="shared" si="14"/>
        <v>2</v>
      </c>
      <c r="I141" s="14">
        <f t="shared" si="15"/>
        <v>1</v>
      </c>
      <c r="J141">
        <f t="shared" si="16"/>
        <v>1</v>
      </c>
      <c r="K141" s="14">
        <f t="shared" si="17"/>
        <v>4</v>
      </c>
      <c r="L141" t="str">
        <f t="shared" si="18"/>
        <v>Lapsed One-Time Buyers</v>
      </c>
    </row>
    <row r="142" spans="1:12" x14ac:dyDescent="0.3">
      <c r="A142" s="12" t="s">
        <v>4018</v>
      </c>
      <c r="B142" s="14" t="str">
        <f>INDEX(orders!$F:$F,MATCH(A142,orders!$C:$C,0))</f>
        <v>Hailee Radbone</v>
      </c>
      <c r="C142" s="15">
        <f>_xlfn.MAXIFS(orders!$B:$B,orders!$C:$C,A142)</f>
        <v>44017</v>
      </c>
      <c r="D142" s="14">
        <f t="shared" si="13"/>
        <v>776</v>
      </c>
      <c r="E142" s="14">
        <f>COUNTIFS(orders!$C:$C,A142)</f>
        <v>1</v>
      </c>
      <c r="F142" s="16">
        <f>SUMIFS(orders!$M:$M,orders!$C:$C,A142)</f>
        <v>35.849999999999994</v>
      </c>
      <c r="G142" s="14" t="str">
        <f>INDEX(orders!$P:$P,MATCH(A142,orders!$C:$C,0))</f>
        <v>No</v>
      </c>
      <c r="H142" s="17">
        <f t="shared" si="14"/>
        <v>2</v>
      </c>
      <c r="I142" s="14">
        <f t="shared" si="15"/>
        <v>1</v>
      </c>
      <c r="J142">
        <f t="shared" si="16"/>
        <v>3</v>
      </c>
      <c r="K142" s="14">
        <f t="shared" si="17"/>
        <v>6</v>
      </c>
      <c r="L142" t="str">
        <f t="shared" si="18"/>
        <v>Lapsed One-Time Buyers</v>
      </c>
    </row>
    <row r="143" spans="1:12" x14ac:dyDescent="0.3">
      <c r="A143" s="12" t="s">
        <v>4042</v>
      </c>
      <c r="B143" s="14" t="str">
        <f>INDEX(orders!$F:$F,MATCH(A143,orders!$C:$C,0))</f>
        <v>Linn Alaway</v>
      </c>
      <c r="C143" s="15">
        <f>_xlfn.MAXIFS(orders!$B:$B,orders!$C:$C,A143)</f>
        <v>44217</v>
      </c>
      <c r="D143" s="14">
        <f t="shared" si="13"/>
        <v>576</v>
      </c>
      <c r="E143" s="14">
        <f>COUNTIFS(orders!$C:$C,A143)</f>
        <v>1</v>
      </c>
      <c r="F143" s="16">
        <f>SUMIFS(orders!$M:$M,orders!$C:$C,A143)</f>
        <v>20.25</v>
      </c>
      <c r="G143" s="14" t="str">
        <f>INDEX(orders!$P:$P,MATCH(A143,orders!$C:$C,0))</f>
        <v>No</v>
      </c>
      <c r="H143" s="17">
        <f t="shared" si="14"/>
        <v>3</v>
      </c>
      <c r="I143" s="14">
        <f t="shared" si="15"/>
        <v>1</v>
      </c>
      <c r="J143">
        <f t="shared" si="16"/>
        <v>2</v>
      </c>
      <c r="K143" s="14">
        <f t="shared" si="17"/>
        <v>6</v>
      </c>
      <c r="L143" t="str">
        <f t="shared" si="18"/>
        <v>Standard One-Time Buyers</v>
      </c>
    </row>
    <row r="144" spans="1:12" x14ac:dyDescent="0.3">
      <c r="A144" s="12" t="s">
        <v>3356</v>
      </c>
      <c r="B144" s="14" t="str">
        <f>INDEX(orders!$F:$F,MATCH(A144,orders!$C:$C,0))</f>
        <v>Perry Lyfield</v>
      </c>
      <c r="C144" s="15">
        <f>_xlfn.MAXIFS(orders!$B:$B,orders!$C:$C,A144)</f>
        <v>43516</v>
      </c>
      <c r="D144" s="14">
        <f t="shared" si="13"/>
        <v>1277</v>
      </c>
      <c r="E144" s="14">
        <f>COUNTIFS(orders!$C:$C,A144)</f>
        <v>1</v>
      </c>
      <c r="F144" s="16">
        <f>SUMIFS(orders!$M:$M,orders!$C:$C,A144)</f>
        <v>89.35499999999999</v>
      </c>
      <c r="G144" s="14" t="str">
        <f>INDEX(orders!$P:$P,MATCH(A144,orders!$C:$C,0))</f>
        <v>Yes</v>
      </c>
      <c r="H144" s="17">
        <f t="shared" si="14"/>
        <v>1</v>
      </c>
      <c r="I144" s="14">
        <f t="shared" si="15"/>
        <v>1</v>
      </c>
      <c r="J144">
        <f t="shared" si="16"/>
        <v>5</v>
      </c>
      <c r="K144" s="14">
        <f t="shared" si="17"/>
        <v>7</v>
      </c>
      <c r="L144" t="str">
        <f t="shared" si="18"/>
        <v>Lapsed One-Time Buyers</v>
      </c>
    </row>
    <row r="145" spans="1:12" x14ac:dyDescent="0.3">
      <c r="A145" s="12" t="s">
        <v>5856</v>
      </c>
      <c r="B145" s="14" t="str">
        <f>INDEX(orders!$F:$F,MATCH(A145,orders!$C:$C,0))</f>
        <v>Gwenni Ratt</v>
      </c>
      <c r="C145" s="15">
        <f>_xlfn.MAXIFS(orders!$B:$B,orders!$C:$C,A145)</f>
        <v>44449</v>
      </c>
      <c r="D145" s="14">
        <f t="shared" si="13"/>
        <v>344</v>
      </c>
      <c r="E145" s="14">
        <f>COUNTIFS(orders!$C:$C,A145)</f>
        <v>1</v>
      </c>
      <c r="F145" s="16">
        <f>SUMIFS(orders!$M:$M,orders!$C:$C,A145)</f>
        <v>109.93999999999998</v>
      </c>
      <c r="G145" s="14" t="str">
        <f>INDEX(orders!$P:$P,MATCH(A145,orders!$C:$C,0))</f>
        <v>No</v>
      </c>
      <c r="H145" s="17">
        <f t="shared" si="14"/>
        <v>4</v>
      </c>
      <c r="I145" s="14">
        <f t="shared" si="15"/>
        <v>1</v>
      </c>
      <c r="J145">
        <f t="shared" si="16"/>
        <v>5</v>
      </c>
      <c r="K145" s="14">
        <f t="shared" si="17"/>
        <v>10</v>
      </c>
      <c r="L145" t="str">
        <f t="shared" si="18"/>
        <v>Recent High-Value (One-Time)</v>
      </c>
    </row>
    <row r="146" spans="1:12" x14ac:dyDescent="0.3">
      <c r="A146" s="12" t="s">
        <v>1374</v>
      </c>
      <c r="B146" s="14" t="str">
        <f>INDEX(orders!$F:$F,MATCH(A146,orders!$C:$C,0))</f>
        <v>Paulo Yea</v>
      </c>
      <c r="C146" s="15">
        <f>_xlfn.MAXIFS(orders!$B:$B,orders!$C:$C,A146)</f>
        <v>44374</v>
      </c>
      <c r="D146" s="14">
        <f t="shared" si="13"/>
        <v>419</v>
      </c>
      <c r="E146" s="14">
        <f>COUNTIFS(orders!$C:$C,A146)</f>
        <v>1</v>
      </c>
      <c r="F146" s="16">
        <f>SUMIFS(orders!$M:$M,orders!$C:$C,A146)</f>
        <v>61.754999999999995</v>
      </c>
      <c r="G146" s="14" t="str">
        <f>INDEX(orders!$P:$P,MATCH(A146,orders!$C:$C,0))</f>
        <v>No</v>
      </c>
      <c r="H146" s="17">
        <f t="shared" si="14"/>
        <v>4</v>
      </c>
      <c r="I146" s="14">
        <f t="shared" si="15"/>
        <v>1</v>
      </c>
      <c r="J146">
        <f t="shared" si="16"/>
        <v>4</v>
      </c>
      <c r="K146" s="14">
        <f t="shared" si="17"/>
        <v>9</v>
      </c>
      <c r="L146" t="str">
        <f t="shared" si="18"/>
        <v>Recent High-Value (One-Time)</v>
      </c>
    </row>
    <row r="147" spans="1:12" x14ac:dyDescent="0.3">
      <c r="A147" s="12" t="s">
        <v>903</v>
      </c>
      <c r="B147" s="14" t="str">
        <f>INDEX(orders!$F:$F,MATCH(A147,orders!$C:$C,0))</f>
        <v>Alikee Carryer</v>
      </c>
      <c r="C147" s="15">
        <f>_xlfn.MAXIFS(orders!$B:$B,orders!$C:$C,A147)</f>
        <v>44362</v>
      </c>
      <c r="D147" s="14">
        <f t="shared" si="13"/>
        <v>431</v>
      </c>
      <c r="E147" s="14">
        <f>COUNTIFS(orders!$C:$C,A147)</f>
        <v>1</v>
      </c>
      <c r="F147" s="16">
        <f>SUMIFS(orders!$M:$M,orders!$C:$C,A147)</f>
        <v>21.825000000000003</v>
      </c>
      <c r="G147" s="14" t="str">
        <f>INDEX(orders!$P:$P,MATCH(A147,orders!$C:$C,0))</f>
        <v>Yes</v>
      </c>
      <c r="H147" s="17">
        <f t="shared" si="14"/>
        <v>4</v>
      </c>
      <c r="I147" s="14">
        <f t="shared" si="15"/>
        <v>1</v>
      </c>
      <c r="J147">
        <f t="shared" si="16"/>
        <v>2</v>
      </c>
      <c r="K147" s="14">
        <f t="shared" si="17"/>
        <v>7</v>
      </c>
      <c r="L147" t="str">
        <f t="shared" si="18"/>
        <v>Standard One-Time Buyers</v>
      </c>
    </row>
    <row r="148" spans="1:12" x14ac:dyDescent="0.3">
      <c r="A148" s="12" t="s">
        <v>1090</v>
      </c>
      <c r="B148" s="14" t="str">
        <f>INDEX(orders!$F:$F,MATCH(A148,orders!$C:$C,0))</f>
        <v>Pen Wye</v>
      </c>
      <c r="C148" s="15">
        <f>_xlfn.MAXIFS(orders!$B:$B,orders!$C:$C,A148)</f>
        <v>43569</v>
      </c>
      <c r="D148" s="14">
        <f t="shared" si="13"/>
        <v>1224</v>
      </c>
      <c r="E148" s="14">
        <f>COUNTIFS(orders!$C:$C,A148)</f>
        <v>1</v>
      </c>
      <c r="F148" s="16">
        <f>SUMIFS(orders!$M:$M,orders!$C:$C,A148)</f>
        <v>17.91</v>
      </c>
      <c r="G148" s="14" t="str">
        <f>INDEX(orders!$P:$P,MATCH(A148,orders!$C:$C,0))</f>
        <v>Yes</v>
      </c>
      <c r="H148" s="17">
        <f t="shared" si="14"/>
        <v>1</v>
      </c>
      <c r="I148" s="14">
        <f t="shared" si="15"/>
        <v>1</v>
      </c>
      <c r="J148">
        <f t="shared" si="16"/>
        <v>2</v>
      </c>
      <c r="K148" s="14">
        <f t="shared" si="17"/>
        <v>4</v>
      </c>
      <c r="L148" t="str">
        <f t="shared" si="18"/>
        <v>Lapsed One-Time Buyers</v>
      </c>
    </row>
    <row r="149" spans="1:12" x14ac:dyDescent="0.3">
      <c r="A149" s="12" t="s">
        <v>5835</v>
      </c>
      <c r="B149" s="14" t="str">
        <f>INDEX(orders!$F:$F,MATCH(A149,orders!$C:$C,0))</f>
        <v>Jaimie Hatz</v>
      </c>
      <c r="C149" s="15">
        <f>_xlfn.MAXIFS(orders!$B:$B,orders!$C:$C,A149)</f>
        <v>43524</v>
      </c>
      <c r="D149" s="14">
        <f t="shared" si="13"/>
        <v>1269</v>
      </c>
      <c r="E149" s="14">
        <f>COUNTIFS(orders!$C:$C,A149)</f>
        <v>1</v>
      </c>
      <c r="F149" s="16">
        <f>SUMIFS(orders!$M:$M,orders!$C:$C,A149)</f>
        <v>119.13999999999999</v>
      </c>
      <c r="G149" s="14" t="str">
        <f>INDEX(orders!$P:$P,MATCH(A149,orders!$C:$C,0))</f>
        <v>No</v>
      </c>
      <c r="H149" s="17">
        <f t="shared" si="14"/>
        <v>1</v>
      </c>
      <c r="I149" s="14">
        <f t="shared" si="15"/>
        <v>1</v>
      </c>
      <c r="J149">
        <f t="shared" si="16"/>
        <v>5</v>
      </c>
      <c r="K149" s="14">
        <f t="shared" si="17"/>
        <v>7</v>
      </c>
      <c r="L149" t="str">
        <f t="shared" si="18"/>
        <v>Lapsed One-Time Buyers</v>
      </c>
    </row>
    <row r="150" spans="1:12" x14ac:dyDescent="0.3">
      <c r="A150" s="12" t="s">
        <v>5025</v>
      </c>
      <c r="B150" s="14" t="str">
        <f>INDEX(orders!$F:$F,MATCH(A150,orders!$C:$C,0))</f>
        <v>Caddric Krzysztofiak</v>
      </c>
      <c r="C150" s="15">
        <f>_xlfn.MAXIFS(orders!$B:$B,orders!$C:$C,A150)</f>
        <v>43902</v>
      </c>
      <c r="D150" s="14">
        <f t="shared" si="13"/>
        <v>891</v>
      </c>
      <c r="E150" s="14">
        <f>COUNTIFS(orders!$C:$C,A150)</f>
        <v>1</v>
      </c>
      <c r="F150" s="16">
        <f>SUMIFS(orders!$M:$M,orders!$C:$C,A150)</f>
        <v>10.739999999999998</v>
      </c>
      <c r="G150" s="14" t="str">
        <f>INDEX(orders!$P:$P,MATCH(A150,orders!$C:$C,0))</f>
        <v>No</v>
      </c>
      <c r="H150" s="17">
        <f t="shared" si="14"/>
        <v>2</v>
      </c>
      <c r="I150" s="14">
        <f t="shared" si="15"/>
        <v>1</v>
      </c>
      <c r="J150">
        <f t="shared" si="16"/>
        <v>1</v>
      </c>
      <c r="K150" s="14">
        <f t="shared" si="17"/>
        <v>4</v>
      </c>
      <c r="L150" t="str">
        <f t="shared" si="18"/>
        <v>Lapsed One-Time Buyers</v>
      </c>
    </row>
    <row r="151" spans="1:12" x14ac:dyDescent="0.3">
      <c r="A151" s="12" t="s">
        <v>5352</v>
      </c>
      <c r="B151" s="14" t="str">
        <f>INDEX(orders!$F:$F,MATCH(A151,orders!$C:$C,0))</f>
        <v>Cece Inker</v>
      </c>
      <c r="C151" s="15">
        <f>_xlfn.MAXIFS(orders!$B:$B,orders!$C:$C,A151)</f>
        <v>44707</v>
      </c>
      <c r="D151" s="14">
        <f t="shared" si="13"/>
        <v>86</v>
      </c>
      <c r="E151" s="14">
        <f>COUNTIFS(orders!$C:$C,A151)</f>
        <v>1</v>
      </c>
      <c r="F151" s="16">
        <f>SUMIFS(orders!$M:$M,orders!$C:$C,A151)</f>
        <v>25.874999999999996</v>
      </c>
      <c r="G151" s="14" t="str">
        <f>INDEX(orders!$P:$P,MATCH(A151,orders!$C:$C,0))</f>
        <v>No</v>
      </c>
      <c r="H151" s="17">
        <f t="shared" si="14"/>
        <v>5</v>
      </c>
      <c r="I151" s="14">
        <f t="shared" si="15"/>
        <v>1</v>
      </c>
      <c r="J151">
        <f t="shared" si="16"/>
        <v>3</v>
      </c>
      <c r="K151" s="14">
        <f t="shared" si="17"/>
        <v>9</v>
      </c>
      <c r="L151" t="str">
        <f t="shared" si="18"/>
        <v>Standard One-Time Buyers</v>
      </c>
    </row>
    <row r="152" spans="1:12" x14ac:dyDescent="0.3">
      <c r="A152" s="12" t="s">
        <v>762</v>
      </c>
      <c r="B152" s="14" t="str">
        <f>INDEX(orders!$F:$F,MATCH(A152,orders!$C:$C,0))</f>
        <v>Raynor McGilvary</v>
      </c>
      <c r="C152" s="15">
        <f>_xlfn.MAXIFS(orders!$B:$B,orders!$C:$C,A152)</f>
        <v>44085</v>
      </c>
      <c r="D152" s="14">
        <f t="shared" si="13"/>
        <v>708</v>
      </c>
      <c r="E152" s="14">
        <f>COUNTIFS(orders!$C:$C,A152)</f>
        <v>1</v>
      </c>
      <c r="F152" s="16">
        <f>SUMIFS(orders!$M:$M,orders!$C:$C,A152)</f>
        <v>91.539999999999992</v>
      </c>
      <c r="G152" s="14" t="str">
        <f>INDEX(orders!$P:$P,MATCH(A152,orders!$C:$C,0))</f>
        <v>No</v>
      </c>
      <c r="H152" s="17">
        <f t="shared" si="14"/>
        <v>3</v>
      </c>
      <c r="I152" s="14">
        <f t="shared" si="15"/>
        <v>1</v>
      </c>
      <c r="J152">
        <f t="shared" si="16"/>
        <v>5</v>
      </c>
      <c r="K152" s="14">
        <f t="shared" si="17"/>
        <v>9</v>
      </c>
      <c r="L152" t="str">
        <f t="shared" si="18"/>
        <v>Standard One-Time Buyers</v>
      </c>
    </row>
    <row r="153" spans="1:12" x14ac:dyDescent="0.3">
      <c r="A153" s="12" t="s">
        <v>3059</v>
      </c>
      <c r="B153" s="14" t="str">
        <f>INDEX(orders!$F:$F,MATCH(A153,orders!$C:$C,0))</f>
        <v>Stan Barribal</v>
      </c>
      <c r="C153" s="15">
        <f>_xlfn.MAXIFS(orders!$B:$B,orders!$C:$C,A153)</f>
        <v>43841</v>
      </c>
      <c r="D153" s="14">
        <f t="shared" si="13"/>
        <v>952</v>
      </c>
      <c r="E153" s="14">
        <f>COUNTIFS(orders!$C:$C,A153)</f>
        <v>1</v>
      </c>
      <c r="F153" s="16">
        <f>SUMIFS(orders!$M:$M,orders!$C:$C,A153)</f>
        <v>9.51</v>
      </c>
      <c r="G153" s="14" t="str">
        <f>INDEX(orders!$P:$P,MATCH(A153,orders!$C:$C,0))</f>
        <v>Yes</v>
      </c>
      <c r="H153" s="17">
        <f t="shared" si="14"/>
        <v>2</v>
      </c>
      <c r="I153" s="14">
        <f t="shared" si="15"/>
        <v>1</v>
      </c>
      <c r="J153">
        <f t="shared" si="16"/>
        <v>1</v>
      </c>
      <c r="K153" s="14">
        <f t="shared" si="17"/>
        <v>4</v>
      </c>
      <c r="L153" t="str">
        <f t="shared" si="18"/>
        <v>Lapsed One-Time Buyers</v>
      </c>
    </row>
    <row r="154" spans="1:12" x14ac:dyDescent="0.3">
      <c r="A154" s="12" t="s">
        <v>4360</v>
      </c>
      <c r="B154" s="14" t="str">
        <f>INDEX(orders!$F:$F,MATCH(A154,orders!$C:$C,0))</f>
        <v>Jeno Druitt</v>
      </c>
      <c r="C154" s="15">
        <f>_xlfn.MAXIFS(orders!$B:$B,orders!$C:$C,A154)</f>
        <v>44637</v>
      </c>
      <c r="D154" s="14">
        <f t="shared" si="13"/>
        <v>156</v>
      </c>
      <c r="E154" s="14">
        <f>COUNTIFS(orders!$C:$C,A154)</f>
        <v>1</v>
      </c>
      <c r="F154" s="16">
        <f>SUMIFS(orders!$M:$M,orders!$C:$C,A154)</f>
        <v>72.91</v>
      </c>
      <c r="G154" s="14" t="str">
        <f>INDEX(orders!$P:$P,MATCH(A154,orders!$C:$C,0))</f>
        <v>Yes</v>
      </c>
      <c r="H154" s="17">
        <f t="shared" si="14"/>
        <v>5</v>
      </c>
      <c r="I154" s="14">
        <f t="shared" si="15"/>
        <v>1</v>
      </c>
      <c r="J154">
        <f t="shared" si="16"/>
        <v>4</v>
      </c>
      <c r="K154" s="14">
        <f t="shared" si="17"/>
        <v>10</v>
      </c>
      <c r="L154" t="str">
        <f t="shared" si="18"/>
        <v>Recent High-Value (One-Time)</v>
      </c>
    </row>
    <row r="155" spans="1:12" x14ac:dyDescent="0.3">
      <c r="A155" s="12" t="s">
        <v>2782</v>
      </c>
      <c r="B155" s="14" t="str">
        <f>INDEX(orders!$F:$F,MATCH(A155,orders!$C:$C,0))</f>
        <v>Auguste Rizon</v>
      </c>
      <c r="C155" s="15">
        <f>_xlfn.MAXIFS(orders!$B:$B,orders!$C:$C,A155)</f>
        <v>44416</v>
      </c>
      <c r="D155" s="14">
        <f t="shared" si="13"/>
        <v>377</v>
      </c>
      <c r="E155" s="14">
        <f>COUNTIFS(orders!$C:$C,A155)</f>
        <v>1</v>
      </c>
      <c r="F155" s="16">
        <f>SUMIFS(orders!$M:$M,orders!$C:$C,A155)</f>
        <v>68.75</v>
      </c>
      <c r="G155" s="14" t="str">
        <f>INDEX(orders!$P:$P,MATCH(A155,orders!$C:$C,0))</f>
        <v>Yes</v>
      </c>
      <c r="H155" s="17">
        <f t="shared" si="14"/>
        <v>4</v>
      </c>
      <c r="I155" s="14">
        <f t="shared" si="15"/>
        <v>1</v>
      </c>
      <c r="J155">
        <f t="shared" si="16"/>
        <v>4</v>
      </c>
      <c r="K155" s="14">
        <f t="shared" si="17"/>
        <v>9</v>
      </c>
      <c r="L155" t="str">
        <f t="shared" si="18"/>
        <v>Recent High-Value (One-Time)</v>
      </c>
    </row>
    <row r="156" spans="1:12" x14ac:dyDescent="0.3">
      <c r="A156" s="12" t="s">
        <v>2877</v>
      </c>
      <c r="B156" s="14" t="str">
        <f>INDEX(orders!$F:$F,MATCH(A156,orders!$C:$C,0))</f>
        <v>Yulma Dombrell</v>
      </c>
      <c r="C156" s="15">
        <f>_xlfn.MAXIFS(orders!$B:$B,orders!$C:$C,A156)</f>
        <v>44431</v>
      </c>
      <c r="D156" s="14">
        <f t="shared" si="13"/>
        <v>362</v>
      </c>
      <c r="E156" s="14">
        <f>COUNTIFS(orders!$C:$C,A156)</f>
        <v>1</v>
      </c>
      <c r="F156" s="16">
        <f>SUMIFS(orders!$M:$M,orders!$C:$C,A156)</f>
        <v>26.73</v>
      </c>
      <c r="G156" s="14" t="str">
        <f>INDEX(orders!$P:$P,MATCH(A156,orders!$C:$C,0))</f>
        <v>Yes</v>
      </c>
      <c r="H156" s="17">
        <f t="shared" si="14"/>
        <v>4</v>
      </c>
      <c r="I156" s="14">
        <f t="shared" si="15"/>
        <v>1</v>
      </c>
      <c r="J156">
        <f t="shared" si="16"/>
        <v>3</v>
      </c>
      <c r="K156" s="14">
        <f t="shared" si="17"/>
        <v>8</v>
      </c>
      <c r="L156" t="str">
        <f t="shared" si="18"/>
        <v>Standard One-Time Buyers</v>
      </c>
    </row>
    <row r="157" spans="1:12" x14ac:dyDescent="0.3">
      <c r="A157" s="12" t="s">
        <v>2045</v>
      </c>
      <c r="B157" s="14" t="str">
        <f>INDEX(orders!$F:$F,MATCH(A157,orders!$C:$C,0))</f>
        <v>Teddi Crowthe</v>
      </c>
      <c r="C157" s="15">
        <f>_xlfn.MAXIFS(orders!$B:$B,orders!$C:$C,A157)</f>
        <v>44725</v>
      </c>
      <c r="D157" s="14">
        <f t="shared" si="13"/>
        <v>68</v>
      </c>
      <c r="E157" s="14">
        <f>COUNTIFS(orders!$C:$C,A157)</f>
        <v>1</v>
      </c>
      <c r="F157" s="16">
        <f>SUMIFS(orders!$M:$M,orders!$C:$C,A157)</f>
        <v>204.92999999999995</v>
      </c>
      <c r="G157" s="14" t="str">
        <f>INDEX(orders!$P:$P,MATCH(A157,orders!$C:$C,0))</f>
        <v>No</v>
      </c>
      <c r="H157" s="17">
        <f t="shared" si="14"/>
        <v>5</v>
      </c>
      <c r="I157" s="14">
        <f t="shared" si="15"/>
        <v>1</v>
      </c>
      <c r="J157">
        <f t="shared" si="16"/>
        <v>5</v>
      </c>
      <c r="K157" s="14">
        <f t="shared" si="17"/>
        <v>11</v>
      </c>
      <c r="L157" t="str">
        <f t="shared" si="18"/>
        <v>Recent High-Value (One-Time)</v>
      </c>
    </row>
    <row r="158" spans="1:12" x14ac:dyDescent="0.3">
      <c r="A158" s="12" t="s">
        <v>5592</v>
      </c>
      <c r="B158" s="14" t="str">
        <f>INDEX(orders!$F:$F,MATCH(A158,orders!$C:$C,0))</f>
        <v>Hall Ranner</v>
      </c>
      <c r="C158" s="15">
        <f>_xlfn.MAXIFS(orders!$B:$B,orders!$C:$C,A158)</f>
        <v>43640</v>
      </c>
      <c r="D158" s="14">
        <f t="shared" si="13"/>
        <v>1153</v>
      </c>
      <c r="E158" s="14">
        <f>COUNTIFS(orders!$C:$C,A158)</f>
        <v>1</v>
      </c>
      <c r="F158" s="16">
        <f>SUMIFS(orders!$M:$M,orders!$C:$C,A158)</f>
        <v>158.12499999999997</v>
      </c>
      <c r="G158" s="14" t="str">
        <f>INDEX(orders!$P:$P,MATCH(A158,orders!$C:$C,0))</f>
        <v>No</v>
      </c>
      <c r="H158" s="17">
        <f t="shared" si="14"/>
        <v>1</v>
      </c>
      <c r="I158" s="14">
        <f t="shared" si="15"/>
        <v>1</v>
      </c>
      <c r="J158">
        <f t="shared" si="16"/>
        <v>5</v>
      </c>
      <c r="K158" s="14">
        <f t="shared" si="17"/>
        <v>7</v>
      </c>
      <c r="L158" t="str">
        <f t="shared" si="18"/>
        <v>Lapsed One-Time Buyers</v>
      </c>
    </row>
    <row r="159" spans="1:12" x14ac:dyDescent="0.3">
      <c r="A159" s="12" t="s">
        <v>3036</v>
      </c>
      <c r="B159" s="14" t="str">
        <f>INDEX(orders!$F:$F,MATCH(A159,orders!$C:$C,0))</f>
        <v>Mohandis Spurden</v>
      </c>
      <c r="C159" s="15">
        <f>_xlfn.MAXIFS(orders!$B:$B,orders!$C:$C,A159)</f>
        <v>43518</v>
      </c>
      <c r="D159" s="14">
        <f t="shared" si="13"/>
        <v>1275</v>
      </c>
      <c r="E159" s="14">
        <f>COUNTIFS(orders!$C:$C,A159)</f>
        <v>1</v>
      </c>
      <c r="F159" s="16">
        <f>SUMIFS(orders!$M:$M,orders!$C:$C,A159)</f>
        <v>41.169999999999995</v>
      </c>
      <c r="G159" s="14" t="str">
        <f>INDEX(orders!$P:$P,MATCH(A159,orders!$C:$C,0))</f>
        <v>Yes</v>
      </c>
      <c r="H159" s="17">
        <f t="shared" si="14"/>
        <v>1</v>
      </c>
      <c r="I159" s="14">
        <f t="shared" si="15"/>
        <v>1</v>
      </c>
      <c r="J159">
        <f t="shared" si="16"/>
        <v>3</v>
      </c>
      <c r="K159" s="14">
        <f t="shared" si="17"/>
        <v>5</v>
      </c>
      <c r="L159" t="str">
        <f t="shared" si="18"/>
        <v>Lapsed One-Time Buyers</v>
      </c>
    </row>
    <row r="160" spans="1:12" x14ac:dyDescent="0.3">
      <c r="A160" s="12" t="s">
        <v>2200</v>
      </c>
      <c r="B160" s="14" t="str">
        <f>INDEX(orders!$F:$F,MATCH(A160,orders!$C:$C,0))</f>
        <v>Darrin Tingly</v>
      </c>
      <c r="C160" s="15">
        <f>_xlfn.MAXIFS(orders!$B:$B,orders!$C:$C,A160)</f>
        <v>44412</v>
      </c>
      <c r="D160" s="14">
        <f t="shared" si="13"/>
        <v>381</v>
      </c>
      <c r="E160" s="14">
        <f>COUNTIFS(orders!$C:$C,A160)</f>
        <v>1</v>
      </c>
      <c r="F160" s="16">
        <f>SUMIFS(orders!$M:$M,orders!$C:$C,A160)</f>
        <v>111.78</v>
      </c>
      <c r="G160" s="14" t="str">
        <f>INDEX(orders!$P:$P,MATCH(A160,orders!$C:$C,0))</f>
        <v>Yes</v>
      </c>
      <c r="H160" s="17">
        <f t="shared" si="14"/>
        <v>4</v>
      </c>
      <c r="I160" s="14">
        <f t="shared" si="15"/>
        <v>1</v>
      </c>
      <c r="J160">
        <f t="shared" si="16"/>
        <v>5</v>
      </c>
      <c r="K160" s="14">
        <f t="shared" si="17"/>
        <v>10</v>
      </c>
      <c r="L160" t="str">
        <f t="shared" si="18"/>
        <v>Recent High-Value (One-Time)</v>
      </c>
    </row>
    <row r="161" spans="1:12" x14ac:dyDescent="0.3">
      <c r="A161" s="12" t="s">
        <v>5428</v>
      </c>
      <c r="B161" s="14" t="str">
        <f>INDEX(orders!$F:$F,MATCH(A161,orders!$C:$C,0))</f>
        <v>Modesty MacConnechie</v>
      </c>
      <c r="C161" s="15">
        <f>_xlfn.MAXIFS(orders!$B:$B,orders!$C:$C,A161)</f>
        <v>44675</v>
      </c>
      <c r="D161" s="14">
        <f t="shared" si="13"/>
        <v>118</v>
      </c>
      <c r="E161" s="14">
        <f>COUNTIFS(orders!$C:$C,A161)</f>
        <v>2</v>
      </c>
      <c r="F161" s="16">
        <f>SUMIFS(orders!$M:$M,orders!$C:$C,A161)</f>
        <v>18.689999999999998</v>
      </c>
      <c r="G161" s="14" t="str">
        <f>INDEX(orders!$P:$P,MATCH(A161,orders!$C:$C,0))</f>
        <v>Yes</v>
      </c>
      <c r="H161" s="17">
        <f t="shared" si="14"/>
        <v>5</v>
      </c>
      <c r="I161" s="14">
        <f t="shared" si="15"/>
        <v>3</v>
      </c>
      <c r="J161">
        <f t="shared" si="16"/>
        <v>2</v>
      </c>
      <c r="K161" s="14">
        <f t="shared" si="17"/>
        <v>10</v>
      </c>
      <c r="L161" t="str">
        <f t="shared" si="18"/>
        <v>Loyal Repeat Customers</v>
      </c>
    </row>
    <row r="162" spans="1:12" x14ac:dyDescent="0.3">
      <c r="A162" s="12" t="s">
        <v>2586</v>
      </c>
      <c r="B162" s="14" t="str">
        <f>INDEX(orders!$F:$F,MATCH(A162,orders!$C:$C,0))</f>
        <v>Terri Farra</v>
      </c>
      <c r="C162" s="15">
        <f>_xlfn.MAXIFS(orders!$B:$B,orders!$C:$C,A162)</f>
        <v>44367</v>
      </c>
      <c r="D162" s="14">
        <f t="shared" si="13"/>
        <v>426</v>
      </c>
      <c r="E162" s="14">
        <f>COUNTIFS(orders!$C:$C,A162)</f>
        <v>4</v>
      </c>
      <c r="F162" s="16">
        <f>SUMIFS(orders!$M:$M,orders!$C:$C,A162)</f>
        <v>289.11</v>
      </c>
      <c r="G162" s="14" t="str">
        <f>INDEX(orders!$P:$P,MATCH(A162,orders!$C:$C,0))</f>
        <v>No</v>
      </c>
      <c r="H162" s="17">
        <f t="shared" si="14"/>
        <v>4</v>
      </c>
      <c r="I162" s="14">
        <f t="shared" si="15"/>
        <v>5</v>
      </c>
      <c r="J162">
        <f t="shared" si="16"/>
        <v>5</v>
      </c>
      <c r="K162" s="14">
        <f t="shared" si="17"/>
        <v>14</v>
      </c>
      <c r="L162" t="str">
        <f t="shared" si="18"/>
        <v>Loyal Repeat Customers</v>
      </c>
    </row>
    <row r="163" spans="1:12" x14ac:dyDescent="0.3">
      <c r="A163" s="12" t="s">
        <v>1597</v>
      </c>
      <c r="B163" s="14" t="str">
        <f>INDEX(orders!$F:$F,MATCH(A163,orders!$C:$C,0))</f>
        <v>Nealson Cuttler</v>
      </c>
      <c r="C163" s="15">
        <f>_xlfn.MAXIFS(orders!$B:$B,orders!$C:$C,A163)</f>
        <v>44339</v>
      </c>
      <c r="D163" s="14">
        <f t="shared" si="13"/>
        <v>454</v>
      </c>
      <c r="E163" s="14">
        <f>COUNTIFS(orders!$C:$C,A163)</f>
        <v>5</v>
      </c>
      <c r="F163" s="16">
        <f>SUMIFS(orders!$M:$M,orders!$C:$C,A163)</f>
        <v>281.67499999999995</v>
      </c>
      <c r="G163" s="14" t="str">
        <f>INDEX(orders!$P:$P,MATCH(A163,orders!$C:$C,0))</f>
        <v>No</v>
      </c>
      <c r="H163" s="17">
        <f t="shared" si="14"/>
        <v>4</v>
      </c>
      <c r="I163" s="14">
        <f t="shared" si="15"/>
        <v>5</v>
      </c>
      <c r="J163">
        <f t="shared" si="16"/>
        <v>5</v>
      </c>
      <c r="K163" s="14">
        <f t="shared" si="17"/>
        <v>14</v>
      </c>
      <c r="L163" t="str">
        <f t="shared" si="18"/>
        <v>Loyal Repeat Customers</v>
      </c>
    </row>
    <row r="164" spans="1:12" x14ac:dyDescent="0.3">
      <c r="A164" s="12" t="s">
        <v>2672</v>
      </c>
      <c r="B164" s="14" t="str">
        <f>INDEX(orders!$F:$F,MATCH(A164,orders!$C:$C,0))</f>
        <v>Shirleen Welds</v>
      </c>
      <c r="C164" s="15">
        <f>_xlfn.MAXIFS(orders!$B:$B,orders!$C:$C,A164)</f>
        <v>44455</v>
      </c>
      <c r="D164" s="14">
        <f t="shared" si="13"/>
        <v>338</v>
      </c>
      <c r="E164" s="14">
        <f>COUNTIFS(orders!$C:$C,A164)</f>
        <v>1</v>
      </c>
      <c r="F164" s="16">
        <f>SUMIFS(orders!$M:$M,orders!$C:$C,A164)</f>
        <v>74.25</v>
      </c>
      <c r="G164" s="14" t="str">
        <f>INDEX(orders!$P:$P,MATCH(A164,orders!$C:$C,0))</f>
        <v>Yes</v>
      </c>
      <c r="H164" s="17">
        <f t="shared" si="14"/>
        <v>4</v>
      </c>
      <c r="I164" s="14">
        <f t="shared" si="15"/>
        <v>1</v>
      </c>
      <c r="J164">
        <f t="shared" si="16"/>
        <v>4</v>
      </c>
      <c r="K164" s="14">
        <f t="shared" si="17"/>
        <v>9</v>
      </c>
      <c r="L164" t="str">
        <f t="shared" si="18"/>
        <v>Recent High-Value (One-Time)</v>
      </c>
    </row>
    <row r="165" spans="1:12" x14ac:dyDescent="0.3">
      <c r="A165" s="12" t="s">
        <v>3985</v>
      </c>
      <c r="B165" s="14" t="str">
        <f>INDEX(orders!$F:$F,MATCH(A165,orders!$C:$C,0))</f>
        <v>Winne Roche</v>
      </c>
      <c r="C165" s="15">
        <f>_xlfn.MAXIFS(orders!$B:$B,orders!$C:$C,A165)</f>
        <v>44682</v>
      </c>
      <c r="D165" s="14">
        <f t="shared" si="13"/>
        <v>111</v>
      </c>
      <c r="E165" s="14">
        <f>COUNTIFS(orders!$C:$C,A165)</f>
        <v>1</v>
      </c>
      <c r="F165" s="16">
        <f>SUMIFS(orders!$M:$M,orders!$C:$C,A165)</f>
        <v>15.54</v>
      </c>
      <c r="G165" s="14" t="str">
        <f>INDEX(orders!$P:$P,MATCH(A165,orders!$C:$C,0))</f>
        <v>Yes</v>
      </c>
      <c r="H165" s="17">
        <f t="shared" si="14"/>
        <v>5</v>
      </c>
      <c r="I165" s="14">
        <f t="shared" si="15"/>
        <v>1</v>
      </c>
      <c r="J165">
        <f t="shared" si="16"/>
        <v>2</v>
      </c>
      <c r="K165" s="14">
        <f t="shared" si="17"/>
        <v>8</v>
      </c>
      <c r="L165" t="str">
        <f t="shared" si="18"/>
        <v>Standard One-Time Buyers</v>
      </c>
    </row>
    <row r="166" spans="1:12" x14ac:dyDescent="0.3">
      <c r="A166" s="12" t="s">
        <v>4075</v>
      </c>
      <c r="B166" s="14" t="str">
        <f>INDEX(orders!$F:$F,MATCH(A166,orders!$C:$C,0))</f>
        <v>Eal D'Ambrogio</v>
      </c>
      <c r="C166" s="15">
        <f>_xlfn.MAXIFS(orders!$B:$B,orders!$C:$C,A166)</f>
        <v>44578</v>
      </c>
      <c r="D166" s="14">
        <f t="shared" si="13"/>
        <v>215</v>
      </c>
      <c r="E166" s="14">
        <f>COUNTIFS(orders!$C:$C,A166)</f>
        <v>1</v>
      </c>
      <c r="F166" s="16">
        <f>SUMIFS(orders!$M:$M,orders!$C:$C,A166)</f>
        <v>35.64</v>
      </c>
      <c r="G166" s="14" t="str">
        <f>INDEX(orders!$P:$P,MATCH(A166,orders!$C:$C,0))</f>
        <v>Yes</v>
      </c>
      <c r="H166" s="17">
        <f t="shared" si="14"/>
        <v>5</v>
      </c>
      <c r="I166" s="14">
        <f t="shared" si="15"/>
        <v>1</v>
      </c>
      <c r="J166">
        <f t="shared" si="16"/>
        <v>3</v>
      </c>
      <c r="K166" s="14">
        <f t="shared" si="17"/>
        <v>9</v>
      </c>
      <c r="L166" t="str">
        <f t="shared" si="18"/>
        <v>Standard One-Time Buyers</v>
      </c>
    </row>
    <row r="167" spans="1:12" x14ac:dyDescent="0.3">
      <c r="A167" s="12" t="s">
        <v>1008</v>
      </c>
      <c r="B167" s="14" t="str">
        <f>INDEX(orders!$F:$F,MATCH(A167,orders!$C:$C,0))</f>
        <v>Hamish MacSherry</v>
      </c>
      <c r="C167" s="15">
        <f>_xlfn.MAXIFS(orders!$B:$B,orders!$C:$C,A167)</f>
        <v>44037</v>
      </c>
      <c r="D167" s="14">
        <f t="shared" si="13"/>
        <v>756</v>
      </c>
      <c r="E167" s="14">
        <f>COUNTIFS(orders!$C:$C,A167)</f>
        <v>1</v>
      </c>
      <c r="F167" s="16">
        <f>SUMIFS(orders!$M:$M,orders!$C:$C,A167)</f>
        <v>44.55</v>
      </c>
      <c r="G167" s="14" t="str">
        <f>INDEX(orders!$P:$P,MATCH(A167,orders!$C:$C,0))</f>
        <v>Yes</v>
      </c>
      <c r="H167" s="17">
        <f t="shared" si="14"/>
        <v>3</v>
      </c>
      <c r="I167" s="14">
        <f t="shared" si="15"/>
        <v>1</v>
      </c>
      <c r="J167">
        <f t="shared" si="16"/>
        <v>4</v>
      </c>
      <c r="K167" s="14">
        <f t="shared" si="17"/>
        <v>8</v>
      </c>
      <c r="L167" t="str">
        <f t="shared" si="18"/>
        <v>Standard One-Time Buyers</v>
      </c>
    </row>
    <row r="168" spans="1:12" x14ac:dyDescent="0.3">
      <c r="A168" s="12" t="s">
        <v>1390</v>
      </c>
      <c r="B168" s="14" t="str">
        <f>INDEX(orders!$F:$F,MATCH(A168,orders!$C:$C,0))</f>
        <v>Kari Swede</v>
      </c>
      <c r="C168" s="15">
        <f>_xlfn.MAXIFS(orders!$B:$B,orders!$C:$C,A168)</f>
        <v>43837</v>
      </c>
      <c r="D168" s="14">
        <f t="shared" si="13"/>
        <v>956</v>
      </c>
      <c r="E168" s="14">
        <f>COUNTIFS(orders!$C:$C,A168)</f>
        <v>1</v>
      </c>
      <c r="F168" s="16">
        <f>SUMIFS(orders!$M:$M,orders!$C:$C,A168)</f>
        <v>33</v>
      </c>
      <c r="G168" s="14" t="str">
        <f>INDEX(orders!$P:$P,MATCH(A168,orders!$C:$C,0))</f>
        <v>No</v>
      </c>
      <c r="H168" s="17">
        <f t="shared" si="14"/>
        <v>2</v>
      </c>
      <c r="I168" s="14">
        <f t="shared" si="15"/>
        <v>1</v>
      </c>
      <c r="J168">
        <f t="shared" si="16"/>
        <v>3</v>
      </c>
      <c r="K168" s="14">
        <f t="shared" si="17"/>
        <v>6</v>
      </c>
      <c r="L168" t="str">
        <f t="shared" si="18"/>
        <v>Lapsed One-Time Buyers</v>
      </c>
    </row>
    <row r="169" spans="1:12" x14ac:dyDescent="0.3">
      <c r="A169" s="12" t="s">
        <v>5467</v>
      </c>
      <c r="B169" s="14" t="str">
        <f>INDEX(orders!$F:$F,MATCH(A169,orders!$C:$C,0))</f>
        <v>Constanta Hatfull</v>
      </c>
      <c r="C169" s="15">
        <f>_xlfn.MAXIFS(orders!$B:$B,orders!$C:$C,A169)</f>
        <v>43790</v>
      </c>
      <c r="D169" s="14">
        <f t="shared" si="13"/>
        <v>1003</v>
      </c>
      <c r="E169" s="14">
        <f>COUNTIFS(orders!$C:$C,A169)</f>
        <v>1</v>
      </c>
      <c r="F169" s="16">
        <f>SUMIFS(orders!$M:$M,orders!$C:$C,A169)</f>
        <v>7.169999999999999</v>
      </c>
      <c r="G169" s="14" t="str">
        <f>INDEX(orders!$P:$P,MATCH(A169,orders!$C:$C,0))</f>
        <v>No</v>
      </c>
      <c r="H169" s="17">
        <f t="shared" si="14"/>
        <v>2</v>
      </c>
      <c r="I169" s="14">
        <f t="shared" si="15"/>
        <v>1</v>
      </c>
      <c r="J169">
        <f t="shared" si="16"/>
        <v>1</v>
      </c>
      <c r="K169" s="14">
        <f t="shared" si="17"/>
        <v>4</v>
      </c>
      <c r="L169" t="str">
        <f t="shared" si="18"/>
        <v>Lapsed One-Time Buyers</v>
      </c>
    </row>
    <row r="170" spans="1:12" x14ac:dyDescent="0.3">
      <c r="A170" s="12" t="s">
        <v>2119</v>
      </c>
      <c r="B170" s="14" t="str">
        <f>INDEX(orders!$F:$F,MATCH(A170,orders!$C:$C,0))</f>
        <v>Mathew Goulter</v>
      </c>
      <c r="C170" s="15">
        <f>_xlfn.MAXIFS(orders!$B:$B,orders!$C:$C,A170)</f>
        <v>44279</v>
      </c>
      <c r="D170" s="14">
        <f t="shared" si="13"/>
        <v>514</v>
      </c>
      <c r="E170" s="14">
        <f>COUNTIFS(orders!$C:$C,A170)</f>
        <v>1</v>
      </c>
      <c r="F170" s="16">
        <f>SUMIFS(orders!$M:$M,orders!$C:$C,A170)</f>
        <v>8.25</v>
      </c>
      <c r="G170" s="14" t="str">
        <f>INDEX(orders!$P:$P,MATCH(A170,orders!$C:$C,0))</f>
        <v>Yes</v>
      </c>
      <c r="H170" s="17">
        <f t="shared" si="14"/>
        <v>3</v>
      </c>
      <c r="I170" s="14">
        <f t="shared" si="15"/>
        <v>1</v>
      </c>
      <c r="J170">
        <f t="shared" si="16"/>
        <v>1</v>
      </c>
      <c r="K170" s="14">
        <f t="shared" si="17"/>
        <v>5</v>
      </c>
      <c r="L170" t="str">
        <f t="shared" si="18"/>
        <v>Standard One-Time Buyers</v>
      </c>
    </row>
    <row r="171" spans="1:12" x14ac:dyDescent="0.3">
      <c r="A171" s="12" t="s">
        <v>491</v>
      </c>
      <c r="B171" s="14" t="str">
        <f>INDEX(orders!$F:$F,MATCH(A171,orders!$C:$C,0))</f>
        <v>Aloisia Allner</v>
      </c>
      <c r="C171" s="15">
        <f>_xlfn.MAXIFS(orders!$B:$B,orders!$C:$C,A171)</f>
        <v>43713</v>
      </c>
      <c r="D171" s="14">
        <f t="shared" si="13"/>
        <v>1080</v>
      </c>
      <c r="E171" s="14">
        <f>COUNTIFS(orders!$C:$C,A171)</f>
        <v>2</v>
      </c>
      <c r="F171" s="16">
        <f>SUMIFS(orders!$M:$M,orders!$C:$C,A171)</f>
        <v>61.15</v>
      </c>
      <c r="G171" s="14" t="str">
        <f>INDEX(orders!$P:$P,MATCH(A171,orders!$C:$C,0))</f>
        <v>Yes</v>
      </c>
      <c r="H171" s="17">
        <f t="shared" si="14"/>
        <v>1</v>
      </c>
      <c r="I171" s="14">
        <f t="shared" si="15"/>
        <v>3</v>
      </c>
      <c r="J171">
        <f t="shared" si="16"/>
        <v>4</v>
      </c>
      <c r="K171" s="14">
        <f t="shared" si="17"/>
        <v>8</v>
      </c>
      <c r="L171" t="str">
        <f t="shared" si="18"/>
        <v>At-Risk Repeat Customers</v>
      </c>
    </row>
    <row r="172" spans="1:12" x14ac:dyDescent="0.3">
      <c r="A172" s="12" t="s">
        <v>4654</v>
      </c>
      <c r="B172" s="14" t="str">
        <f>INDEX(orders!$F:$F,MATCH(A172,orders!$C:$C,0))</f>
        <v>Carlie Linskill</v>
      </c>
      <c r="C172" s="15">
        <f>_xlfn.MAXIFS(orders!$B:$B,orders!$C:$C,A172)</f>
        <v>44447</v>
      </c>
      <c r="D172" s="14">
        <f t="shared" si="13"/>
        <v>346</v>
      </c>
      <c r="E172" s="14">
        <f>COUNTIFS(orders!$C:$C,A172)</f>
        <v>1</v>
      </c>
      <c r="F172" s="16">
        <f>SUMIFS(orders!$M:$M,orders!$C:$C,A172)</f>
        <v>56.25</v>
      </c>
      <c r="G172" s="14" t="str">
        <f>INDEX(orders!$P:$P,MATCH(A172,orders!$C:$C,0))</f>
        <v>No</v>
      </c>
      <c r="H172" s="17">
        <f t="shared" si="14"/>
        <v>4</v>
      </c>
      <c r="I172" s="14">
        <f t="shared" si="15"/>
        <v>1</v>
      </c>
      <c r="J172">
        <f t="shared" si="16"/>
        <v>4</v>
      </c>
      <c r="K172" s="14">
        <f t="shared" si="17"/>
        <v>9</v>
      </c>
      <c r="L172" t="str">
        <f t="shared" si="18"/>
        <v>Recent High-Value (One-Time)</v>
      </c>
    </row>
    <row r="173" spans="1:12" x14ac:dyDescent="0.3">
      <c r="A173" s="12" t="s">
        <v>3918</v>
      </c>
      <c r="B173" s="14" t="str">
        <f>INDEX(orders!$F:$F,MATCH(A173,orders!$C:$C,0))</f>
        <v>Laurence Ellingham</v>
      </c>
      <c r="C173" s="15">
        <f>_xlfn.MAXIFS(orders!$B:$B,orders!$C:$C,A173)</f>
        <v>44640</v>
      </c>
      <c r="D173" s="14">
        <f t="shared" si="13"/>
        <v>153</v>
      </c>
      <c r="E173" s="14">
        <f>COUNTIFS(orders!$C:$C,A173)</f>
        <v>1</v>
      </c>
      <c r="F173" s="16">
        <f>SUMIFS(orders!$M:$M,orders!$C:$C,A173)</f>
        <v>3.645</v>
      </c>
      <c r="G173" s="14" t="str">
        <f>INDEX(orders!$P:$P,MATCH(A173,orders!$C:$C,0))</f>
        <v>Yes</v>
      </c>
      <c r="H173" s="17">
        <f t="shared" si="14"/>
        <v>5</v>
      </c>
      <c r="I173" s="14">
        <f t="shared" si="15"/>
        <v>1</v>
      </c>
      <c r="J173">
        <f t="shared" si="16"/>
        <v>1</v>
      </c>
      <c r="K173" s="14">
        <f t="shared" si="17"/>
        <v>7</v>
      </c>
      <c r="L173" t="str">
        <f t="shared" si="18"/>
        <v>Standard One-Time Buyers</v>
      </c>
    </row>
    <row r="174" spans="1:12" x14ac:dyDescent="0.3">
      <c r="A174" s="12" t="s">
        <v>5235</v>
      </c>
      <c r="B174" s="14" t="str">
        <f>INDEX(orders!$F:$F,MATCH(A174,orders!$C:$C,0))</f>
        <v>Miran Doidge</v>
      </c>
      <c r="C174" s="15">
        <f>_xlfn.MAXIFS(orders!$B:$B,orders!$C:$C,A174)</f>
        <v>44521</v>
      </c>
      <c r="D174" s="14">
        <f t="shared" si="13"/>
        <v>272</v>
      </c>
      <c r="E174" s="14">
        <f>COUNTIFS(orders!$C:$C,A174)</f>
        <v>1</v>
      </c>
      <c r="F174" s="16">
        <f>SUMIFS(orders!$M:$M,orders!$C:$C,A174)</f>
        <v>41.25</v>
      </c>
      <c r="G174" s="14" t="str">
        <f>INDEX(orders!$P:$P,MATCH(A174,orders!$C:$C,0))</f>
        <v>No</v>
      </c>
      <c r="H174" s="17">
        <f t="shared" si="14"/>
        <v>4</v>
      </c>
      <c r="I174" s="14">
        <f t="shared" si="15"/>
        <v>1</v>
      </c>
      <c r="J174">
        <f t="shared" si="16"/>
        <v>3</v>
      </c>
      <c r="K174" s="14">
        <f t="shared" si="17"/>
        <v>8</v>
      </c>
      <c r="L174" t="str">
        <f t="shared" si="18"/>
        <v>Standard One-Time Buyers</v>
      </c>
    </row>
    <row r="175" spans="1:12" x14ac:dyDescent="0.3">
      <c r="A175" s="12" t="s">
        <v>3476</v>
      </c>
      <c r="B175" s="14" t="str">
        <f>INDEX(orders!$F:$F,MATCH(A175,orders!$C:$C,0))</f>
        <v>Lem Pennacci</v>
      </c>
      <c r="C175" s="15">
        <f>_xlfn.MAXIFS(orders!$B:$B,orders!$C:$C,A175)</f>
        <v>43926</v>
      </c>
      <c r="D175" s="14">
        <f t="shared" si="13"/>
        <v>867</v>
      </c>
      <c r="E175" s="14">
        <f>COUNTIFS(orders!$C:$C,A175)</f>
        <v>1</v>
      </c>
      <c r="F175" s="16">
        <f>SUMIFS(orders!$M:$M,orders!$C:$C,A175)</f>
        <v>53.46</v>
      </c>
      <c r="G175" s="14" t="str">
        <f>INDEX(orders!$P:$P,MATCH(A175,orders!$C:$C,0))</f>
        <v>No</v>
      </c>
      <c r="H175" s="17">
        <f t="shared" si="14"/>
        <v>2</v>
      </c>
      <c r="I175" s="14">
        <f t="shared" si="15"/>
        <v>1</v>
      </c>
      <c r="J175">
        <f t="shared" si="16"/>
        <v>4</v>
      </c>
      <c r="K175" s="14">
        <f t="shared" si="17"/>
        <v>7</v>
      </c>
      <c r="L175" t="str">
        <f t="shared" si="18"/>
        <v>Lapsed One-Time Buyers</v>
      </c>
    </row>
    <row r="176" spans="1:12" x14ac:dyDescent="0.3">
      <c r="A176" s="12" t="s">
        <v>4314</v>
      </c>
      <c r="B176" s="14" t="str">
        <f>INDEX(orders!$F:$F,MATCH(A176,orders!$C:$C,0))</f>
        <v>Charin Penwarden</v>
      </c>
      <c r="C176" s="15">
        <f>_xlfn.MAXIFS(orders!$B:$B,orders!$C:$C,A176)</f>
        <v>44206</v>
      </c>
      <c r="D176" s="14">
        <f t="shared" si="13"/>
        <v>587</v>
      </c>
      <c r="E176" s="14">
        <f>COUNTIFS(orders!$C:$C,A176)</f>
        <v>1</v>
      </c>
      <c r="F176" s="16">
        <f>SUMIFS(orders!$M:$M,orders!$C:$C,A176)</f>
        <v>43.650000000000006</v>
      </c>
      <c r="G176" s="14" t="str">
        <f>INDEX(orders!$P:$P,MATCH(A176,orders!$C:$C,0))</f>
        <v>No</v>
      </c>
      <c r="H176" s="17">
        <f t="shared" si="14"/>
        <v>3</v>
      </c>
      <c r="I176" s="14">
        <f t="shared" si="15"/>
        <v>1</v>
      </c>
      <c r="J176">
        <f t="shared" si="16"/>
        <v>4</v>
      </c>
      <c r="K176" s="14">
        <f t="shared" si="17"/>
        <v>8</v>
      </c>
      <c r="L176" t="str">
        <f t="shared" si="18"/>
        <v>Standard One-Time Buyers</v>
      </c>
    </row>
    <row r="177" spans="1:12" x14ac:dyDescent="0.3">
      <c r="A177" s="12" t="s">
        <v>3666</v>
      </c>
      <c r="B177" s="14" t="str">
        <f>INDEX(orders!$F:$F,MATCH(A177,orders!$C:$C,0))</f>
        <v>Brendan Grece</v>
      </c>
      <c r="C177" s="15">
        <f>_xlfn.MAXIFS(orders!$B:$B,orders!$C:$C,A177)</f>
        <v>43669</v>
      </c>
      <c r="D177" s="14">
        <f t="shared" si="13"/>
        <v>1124</v>
      </c>
      <c r="E177" s="14">
        <f>COUNTIFS(orders!$C:$C,A177)</f>
        <v>1</v>
      </c>
      <c r="F177" s="16">
        <f>SUMIFS(orders!$M:$M,orders!$C:$C,A177)</f>
        <v>28.53</v>
      </c>
      <c r="G177" s="14" t="str">
        <f>INDEX(orders!$P:$P,MATCH(A177,orders!$C:$C,0))</f>
        <v>No</v>
      </c>
      <c r="H177" s="17">
        <f t="shared" si="14"/>
        <v>1</v>
      </c>
      <c r="I177" s="14">
        <f t="shared" si="15"/>
        <v>1</v>
      </c>
      <c r="J177">
        <f t="shared" si="16"/>
        <v>3</v>
      </c>
      <c r="K177" s="14">
        <f t="shared" si="17"/>
        <v>5</v>
      </c>
      <c r="L177" t="str">
        <f t="shared" si="18"/>
        <v>Lapsed One-Time Buyers</v>
      </c>
    </row>
    <row r="178" spans="1:12" x14ac:dyDescent="0.3">
      <c r="A178" s="12" t="s">
        <v>2814</v>
      </c>
      <c r="B178" s="14" t="str">
        <f>INDEX(orders!$F:$F,MATCH(A178,orders!$C:$C,0))</f>
        <v>Freeland Missenden</v>
      </c>
      <c r="C178" s="15">
        <f>_xlfn.MAXIFS(orders!$B:$B,orders!$C:$C,A178)</f>
        <v>44410</v>
      </c>
      <c r="D178" s="14">
        <f t="shared" si="13"/>
        <v>383</v>
      </c>
      <c r="E178" s="14">
        <f>COUNTIFS(orders!$C:$C,A178)</f>
        <v>1</v>
      </c>
      <c r="F178" s="16">
        <f>SUMIFS(orders!$M:$M,orders!$C:$C,A178)</f>
        <v>56.25</v>
      </c>
      <c r="G178" s="14" t="str">
        <f>INDEX(orders!$P:$P,MATCH(A178,orders!$C:$C,0))</f>
        <v>Yes</v>
      </c>
      <c r="H178" s="17">
        <f t="shared" si="14"/>
        <v>4</v>
      </c>
      <c r="I178" s="14">
        <f t="shared" si="15"/>
        <v>1</v>
      </c>
      <c r="J178">
        <f t="shared" si="16"/>
        <v>4</v>
      </c>
      <c r="K178" s="14">
        <f t="shared" si="17"/>
        <v>9</v>
      </c>
      <c r="L178" t="str">
        <f t="shared" si="18"/>
        <v>Recent High-Value (One-Time)</v>
      </c>
    </row>
    <row r="179" spans="1:12" x14ac:dyDescent="0.3">
      <c r="A179" s="12" t="s">
        <v>4467</v>
      </c>
      <c r="B179" s="14" t="str">
        <f>INDEX(orders!$F:$F,MATCH(A179,orders!$C:$C,0))</f>
        <v>Josefina Ferens</v>
      </c>
      <c r="C179" s="15">
        <f>_xlfn.MAXIFS(orders!$B:$B,orders!$C:$C,A179)</f>
        <v>44716</v>
      </c>
      <c r="D179" s="14">
        <f t="shared" si="13"/>
        <v>77</v>
      </c>
      <c r="E179" s="14">
        <f>COUNTIFS(orders!$C:$C,A179)</f>
        <v>1</v>
      </c>
      <c r="F179" s="16">
        <f>SUMIFS(orders!$M:$M,orders!$C:$C,A179)</f>
        <v>21.87</v>
      </c>
      <c r="G179" s="14" t="str">
        <f>INDEX(orders!$P:$P,MATCH(A179,orders!$C:$C,0))</f>
        <v>Yes</v>
      </c>
      <c r="H179" s="17">
        <f t="shared" si="14"/>
        <v>5</v>
      </c>
      <c r="I179" s="14">
        <f t="shared" si="15"/>
        <v>1</v>
      </c>
      <c r="J179">
        <f t="shared" si="16"/>
        <v>2</v>
      </c>
      <c r="K179" s="14">
        <f t="shared" si="17"/>
        <v>8</v>
      </c>
      <c r="L179" t="str">
        <f t="shared" si="18"/>
        <v>Standard One-Time Buyers</v>
      </c>
    </row>
    <row r="180" spans="1:12" x14ac:dyDescent="0.3">
      <c r="A180" s="12" t="s">
        <v>4063</v>
      </c>
      <c r="B180" s="14" t="str">
        <f>INDEX(orders!$F:$F,MATCH(A180,orders!$C:$C,0))</f>
        <v>Gaspar McGavin</v>
      </c>
      <c r="C180" s="15">
        <f>_xlfn.MAXIFS(orders!$B:$B,orders!$C:$C,A180)</f>
        <v>43820</v>
      </c>
      <c r="D180" s="14">
        <f t="shared" si="13"/>
        <v>973</v>
      </c>
      <c r="E180" s="14">
        <f>COUNTIFS(orders!$C:$C,A180)</f>
        <v>1</v>
      </c>
      <c r="F180" s="16">
        <f>SUMIFS(orders!$M:$M,orders!$C:$C,A180)</f>
        <v>47.8</v>
      </c>
      <c r="G180" s="14" t="str">
        <f>INDEX(orders!$P:$P,MATCH(A180,orders!$C:$C,0))</f>
        <v>No</v>
      </c>
      <c r="H180" s="17">
        <f t="shared" si="14"/>
        <v>2</v>
      </c>
      <c r="I180" s="14">
        <f t="shared" si="15"/>
        <v>1</v>
      </c>
      <c r="J180">
        <f t="shared" si="16"/>
        <v>4</v>
      </c>
      <c r="K180" s="14">
        <f t="shared" si="17"/>
        <v>7</v>
      </c>
      <c r="L180" t="str">
        <f t="shared" si="18"/>
        <v>Lapsed One-Time Buyers</v>
      </c>
    </row>
    <row r="181" spans="1:12" x14ac:dyDescent="0.3">
      <c r="A181" s="12" t="s">
        <v>2222</v>
      </c>
      <c r="B181" s="14" t="str">
        <f>INDEX(orders!$F:$F,MATCH(A181,orders!$C:$C,0))</f>
        <v>Ermin Beeble</v>
      </c>
      <c r="C181" s="15">
        <f>_xlfn.MAXIFS(orders!$B:$B,orders!$C:$C,A181)</f>
        <v>44227</v>
      </c>
      <c r="D181" s="14">
        <f t="shared" si="13"/>
        <v>566</v>
      </c>
      <c r="E181" s="14">
        <f>COUNTIFS(orders!$C:$C,A181)</f>
        <v>1</v>
      </c>
      <c r="F181" s="16">
        <f>SUMIFS(orders!$M:$M,orders!$C:$C,A181)</f>
        <v>33.75</v>
      </c>
      <c r="G181" s="14" t="str">
        <f>INDEX(orders!$P:$P,MATCH(A181,orders!$C:$C,0))</f>
        <v>Yes</v>
      </c>
      <c r="H181" s="17">
        <f t="shared" si="14"/>
        <v>3</v>
      </c>
      <c r="I181" s="14">
        <f t="shared" si="15"/>
        <v>1</v>
      </c>
      <c r="J181">
        <f t="shared" si="16"/>
        <v>3</v>
      </c>
      <c r="K181" s="14">
        <f t="shared" si="17"/>
        <v>7</v>
      </c>
      <c r="L181" t="str">
        <f t="shared" si="18"/>
        <v>Standard One-Time Buyers</v>
      </c>
    </row>
    <row r="182" spans="1:12" x14ac:dyDescent="0.3">
      <c r="A182" s="12" t="s">
        <v>1211</v>
      </c>
      <c r="B182" s="14" t="str">
        <f>INDEX(orders!$F:$F,MATCH(A182,orders!$C:$C,0))</f>
        <v>Timofei Woofinden</v>
      </c>
      <c r="C182" s="15">
        <f>_xlfn.MAXIFS(orders!$B:$B,orders!$C:$C,A182)</f>
        <v>44439</v>
      </c>
      <c r="D182" s="14">
        <f t="shared" si="13"/>
        <v>354</v>
      </c>
      <c r="E182" s="14">
        <f>COUNTIFS(orders!$C:$C,A182)</f>
        <v>1</v>
      </c>
      <c r="F182" s="16">
        <f>SUMIFS(orders!$M:$M,orders!$C:$C,A182)</f>
        <v>6.75</v>
      </c>
      <c r="G182" s="14" t="str">
        <f>INDEX(orders!$P:$P,MATCH(A182,orders!$C:$C,0))</f>
        <v>No</v>
      </c>
      <c r="H182" s="17">
        <f t="shared" si="14"/>
        <v>4</v>
      </c>
      <c r="I182" s="14">
        <f t="shared" si="15"/>
        <v>1</v>
      </c>
      <c r="J182">
        <f t="shared" si="16"/>
        <v>1</v>
      </c>
      <c r="K182" s="14">
        <f t="shared" si="17"/>
        <v>6</v>
      </c>
      <c r="L182" t="str">
        <f t="shared" si="18"/>
        <v>Standard One-Time Buyers</v>
      </c>
    </row>
    <row r="183" spans="1:12" x14ac:dyDescent="0.3">
      <c r="A183" s="12" t="s">
        <v>2819</v>
      </c>
      <c r="B183" s="14" t="str">
        <f>INDEX(orders!$F:$F,MATCH(A183,orders!$C:$C,0))</f>
        <v>Waylan Springall</v>
      </c>
      <c r="C183" s="15">
        <f>_xlfn.MAXIFS(orders!$B:$B,orders!$C:$C,A183)</f>
        <v>43857</v>
      </c>
      <c r="D183" s="14">
        <f t="shared" si="13"/>
        <v>936</v>
      </c>
      <c r="E183" s="14">
        <f>COUNTIFS(orders!$C:$C,A183)</f>
        <v>1</v>
      </c>
      <c r="F183" s="16">
        <f>SUMIFS(orders!$M:$M,orders!$C:$C,A183)</f>
        <v>36.454999999999998</v>
      </c>
      <c r="G183" s="14" t="str">
        <f>INDEX(orders!$P:$P,MATCH(A183,orders!$C:$C,0))</f>
        <v>Yes</v>
      </c>
      <c r="H183" s="17">
        <f t="shared" si="14"/>
        <v>2</v>
      </c>
      <c r="I183" s="14">
        <f t="shared" si="15"/>
        <v>1</v>
      </c>
      <c r="J183">
        <f t="shared" si="16"/>
        <v>3</v>
      </c>
      <c r="K183" s="14">
        <f t="shared" si="17"/>
        <v>6</v>
      </c>
      <c r="L183" t="str">
        <f t="shared" si="18"/>
        <v>Lapsed One-Time Buyers</v>
      </c>
    </row>
    <row r="184" spans="1:12" x14ac:dyDescent="0.3">
      <c r="A184" s="12" t="s">
        <v>4848</v>
      </c>
      <c r="B184" s="14" t="str">
        <f>INDEX(orders!$F:$F,MATCH(A184,orders!$C:$C,0))</f>
        <v>Suzanna Bollam</v>
      </c>
      <c r="C184" s="15">
        <f>_xlfn.MAXIFS(orders!$B:$B,orders!$C:$C,A184)</f>
        <v>43468</v>
      </c>
      <c r="D184" s="14">
        <f t="shared" si="13"/>
        <v>1325</v>
      </c>
      <c r="E184" s="14">
        <f>COUNTIFS(orders!$C:$C,A184)</f>
        <v>1</v>
      </c>
      <c r="F184" s="16">
        <f>SUMIFS(orders!$M:$M,orders!$C:$C,A184)</f>
        <v>21.509999999999998</v>
      </c>
      <c r="G184" s="14" t="str">
        <f>INDEX(orders!$P:$P,MATCH(A184,orders!$C:$C,0))</f>
        <v>No</v>
      </c>
      <c r="H184" s="17">
        <f t="shared" si="14"/>
        <v>1</v>
      </c>
      <c r="I184" s="14">
        <f t="shared" si="15"/>
        <v>1</v>
      </c>
      <c r="J184">
        <f t="shared" si="16"/>
        <v>2</v>
      </c>
      <c r="K184" s="14">
        <f t="shared" si="17"/>
        <v>4</v>
      </c>
      <c r="L184" t="str">
        <f t="shared" si="18"/>
        <v>Lapsed One-Time Buyers</v>
      </c>
    </row>
    <row r="185" spans="1:12" x14ac:dyDescent="0.3">
      <c r="A185" s="12" t="s">
        <v>5036</v>
      </c>
      <c r="B185" s="14" t="str">
        <f>INDEX(orders!$F:$F,MATCH(A185,orders!$C:$C,0))</f>
        <v>Jammie Cloke</v>
      </c>
      <c r="C185" s="15">
        <f>_xlfn.MAXIFS(orders!$B:$B,orders!$C:$C,A185)</f>
        <v>44289</v>
      </c>
      <c r="D185" s="14">
        <f t="shared" si="13"/>
        <v>504</v>
      </c>
      <c r="E185" s="14">
        <f>COUNTIFS(orders!$C:$C,A185)</f>
        <v>1</v>
      </c>
      <c r="F185" s="16">
        <f>SUMIFS(orders!$M:$M,orders!$C:$C,A185)</f>
        <v>23.9</v>
      </c>
      <c r="G185" s="14" t="str">
        <f>INDEX(orders!$P:$P,MATCH(A185,orders!$C:$C,0))</f>
        <v>No</v>
      </c>
      <c r="H185" s="17">
        <f t="shared" si="14"/>
        <v>4</v>
      </c>
      <c r="I185" s="14">
        <f t="shared" si="15"/>
        <v>1</v>
      </c>
      <c r="J185">
        <f t="shared" si="16"/>
        <v>2</v>
      </c>
      <c r="K185" s="14">
        <f t="shared" si="17"/>
        <v>7</v>
      </c>
      <c r="L185" t="str">
        <f t="shared" si="18"/>
        <v>Standard One-Time Buyers</v>
      </c>
    </row>
    <row r="186" spans="1:12" x14ac:dyDescent="0.3">
      <c r="A186" s="12" t="s">
        <v>3752</v>
      </c>
      <c r="B186" s="14" t="str">
        <f>INDEX(orders!$F:$F,MATCH(A186,orders!$C:$C,0))</f>
        <v>Don Flintiff</v>
      </c>
      <c r="C186" s="15">
        <f>_xlfn.MAXIFS(orders!$B:$B,orders!$C:$C,A186)</f>
        <v>44410</v>
      </c>
      <c r="D186" s="14">
        <f t="shared" si="13"/>
        <v>383</v>
      </c>
      <c r="E186" s="14">
        <f>COUNTIFS(orders!$C:$C,A186)</f>
        <v>3</v>
      </c>
      <c r="F186" s="16">
        <f>SUMIFS(orders!$M:$M,orders!$C:$C,A186)</f>
        <v>278.01</v>
      </c>
      <c r="G186" s="14" t="str">
        <f>INDEX(orders!$P:$P,MATCH(A186,orders!$C:$C,0))</f>
        <v>No</v>
      </c>
      <c r="H186" s="17">
        <f t="shared" si="14"/>
        <v>4</v>
      </c>
      <c r="I186" s="14">
        <f t="shared" si="15"/>
        <v>5</v>
      </c>
      <c r="J186">
        <f t="shared" si="16"/>
        <v>5</v>
      </c>
      <c r="K186" s="14">
        <f t="shared" si="17"/>
        <v>14</v>
      </c>
      <c r="L186" t="str">
        <f t="shared" si="18"/>
        <v>Loyal Repeat Customers</v>
      </c>
    </row>
    <row r="187" spans="1:12" x14ac:dyDescent="0.3">
      <c r="A187" s="12" t="s">
        <v>3940</v>
      </c>
      <c r="B187" s="14" t="str">
        <f>INDEX(orders!$F:$F,MATCH(A187,orders!$C:$C,0))</f>
        <v>Temple Castiglione</v>
      </c>
      <c r="C187" s="15">
        <f>_xlfn.MAXIFS(orders!$B:$B,orders!$C:$C,A187)</f>
        <v>43739</v>
      </c>
      <c r="D187" s="14">
        <f t="shared" si="13"/>
        <v>1054</v>
      </c>
      <c r="E187" s="14">
        <f>COUNTIFS(orders!$C:$C,A187)</f>
        <v>1</v>
      </c>
      <c r="F187" s="16">
        <f>SUMIFS(orders!$M:$M,orders!$C:$C,A187)</f>
        <v>68.309999999999988</v>
      </c>
      <c r="G187" s="14" t="str">
        <f>INDEX(orders!$P:$P,MATCH(A187,orders!$C:$C,0))</f>
        <v>No</v>
      </c>
      <c r="H187" s="17">
        <f t="shared" si="14"/>
        <v>1</v>
      </c>
      <c r="I187" s="14">
        <f t="shared" si="15"/>
        <v>1</v>
      </c>
      <c r="J187">
        <f t="shared" si="16"/>
        <v>4</v>
      </c>
      <c r="K187" s="14">
        <f t="shared" si="17"/>
        <v>6</v>
      </c>
      <c r="L187" t="str">
        <f t="shared" si="18"/>
        <v>Lapsed One-Time Buyers</v>
      </c>
    </row>
    <row r="188" spans="1:12" x14ac:dyDescent="0.3">
      <c r="A188" s="12" t="s">
        <v>2320</v>
      </c>
      <c r="B188" s="14" t="str">
        <f>INDEX(orders!$F:$F,MATCH(A188,orders!$C:$C,0))</f>
        <v>Diena Peetermann</v>
      </c>
      <c r="C188" s="15">
        <f>_xlfn.MAXIFS(orders!$B:$B,orders!$C:$C,A188)</f>
        <v>43666</v>
      </c>
      <c r="D188" s="14">
        <f t="shared" si="13"/>
        <v>1127</v>
      </c>
      <c r="E188" s="14">
        <f>COUNTIFS(orders!$C:$C,A188)</f>
        <v>1</v>
      </c>
      <c r="F188" s="16">
        <f>SUMIFS(orders!$M:$M,orders!$C:$C,A188)</f>
        <v>13.75</v>
      </c>
      <c r="G188" s="14" t="str">
        <f>INDEX(orders!$P:$P,MATCH(A188,orders!$C:$C,0))</f>
        <v>No</v>
      </c>
      <c r="H188" s="17">
        <f t="shared" si="14"/>
        <v>1</v>
      </c>
      <c r="I188" s="14">
        <f t="shared" si="15"/>
        <v>1</v>
      </c>
      <c r="J188">
        <f t="shared" si="16"/>
        <v>2</v>
      </c>
      <c r="K188" s="14">
        <f t="shared" si="17"/>
        <v>4</v>
      </c>
      <c r="L188" t="str">
        <f t="shared" si="18"/>
        <v>Lapsed One-Time Buyers</v>
      </c>
    </row>
    <row r="189" spans="1:12" x14ac:dyDescent="0.3">
      <c r="A189" s="12" t="s">
        <v>5414</v>
      </c>
      <c r="B189" s="14" t="str">
        <f>INDEX(orders!$F:$F,MATCH(A189,orders!$C:$C,0))</f>
        <v>Peyter Matignon</v>
      </c>
      <c r="C189" s="15">
        <f>_xlfn.MAXIFS(orders!$B:$B,orders!$C:$C,A189)</f>
        <v>43707</v>
      </c>
      <c r="D189" s="14">
        <f t="shared" si="13"/>
        <v>1086</v>
      </c>
      <c r="E189" s="14">
        <f>COUNTIFS(orders!$C:$C,A189)</f>
        <v>1</v>
      </c>
      <c r="F189" s="16">
        <f>SUMIFS(orders!$M:$M,orders!$C:$C,A189)</f>
        <v>29.7</v>
      </c>
      <c r="G189" s="14" t="str">
        <f>INDEX(orders!$P:$P,MATCH(A189,orders!$C:$C,0))</f>
        <v>Yes</v>
      </c>
      <c r="H189" s="17">
        <f t="shared" si="14"/>
        <v>1</v>
      </c>
      <c r="I189" s="14">
        <f t="shared" si="15"/>
        <v>1</v>
      </c>
      <c r="J189">
        <f t="shared" si="16"/>
        <v>3</v>
      </c>
      <c r="K189" s="14">
        <f t="shared" si="17"/>
        <v>5</v>
      </c>
      <c r="L189" t="str">
        <f t="shared" si="18"/>
        <v>Lapsed One-Time Buyers</v>
      </c>
    </row>
    <row r="190" spans="1:12" x14ac:dyDescent="0.3">
      <c r="A190" s="12" t="s">
        <v>4478</v>
      </c>
      <c r="B190" s="14" t="str">
        <f>INDEX(orders!$F:$F,MATCH(A190,orders!$C:$C,0))</f>
        <v>Barrie Fallowes</v>
      </c>
      <c r="C190" s="15">
        <f>_xlfn.MAXIFS(orders!$B:$B,orders!$C:$C,A190)</f>
        <v>44353</v>
      </c>
      <c r="D190" s="14">
        <f t="shared" si="13"/>
        <v>440</v>
      </c>
      <c r="E190" s="14">
        <f>COUNTIFS(orders!$C:$C,A190)</f>
        <v>1</v>
      </c>
      <c r="F190" s="16">
        <f>SUMIFS(orders!$M:$M,orders!$C:$C,A190)</f>
        <v>12.375</v>
      </c>
      <c r="G190" s="14" t="str">
        <f>INDEX(orders!$P:$P,MATCH(A190,orders!$C:$C,0))</f>
        <v>No</v>
      </c>
      <c r="H190" s="17">
        <f t="shared" si="14"/>
        <v>4</v>
      </c>
      <c r="I190" s="14">
        <f t="shared" si="15"/>
        <v>1</v>
      </c>
      <c r="J190">
        <f t="shared" si="16"/>
        <v>1</v>
      </c>
      <c r="K190" s="14">
        <f t="shared" si="17"/>
        <v>6</v>
      </c>
      <c r="L190" t="str">
        <f t="shared" si="18"/>
        <v>Standard One-Time Buyers</v>
      </c>
    </row>
    <row r="191" spans="1:12" x14ac:dyDescent="0.3">
      <c r="A191" s="12" t="s">
        <v>1533</v>
      </c>
      <c r="B191" s="14" t="str">
        <f>INDEX(orders!$F:$F,MATCH(A191,orders!$C:$C,0))</f>
        <v>Angie Rizzetti</v>
      </c>
      <c r="C191" s="15">
        <f>_xlfn.MAXIFS(orders!$B:$B,orders!$C:$C,A191)</f>
        <v>43483</v>
      </c>
      <c r="D191" s="14">
        <f t="shared" si="13"/>
        <v>1310</v>
      </c>
      <c r="E191" s="14">
        <f>COUNTIFS(orders!$C:$C,A191)</f>
        <v>1</v>
      </c>
      <c r="F191" s="16">
        <f>SUMIFS(orders!$M:$M,orders!$C:$C,A191)</f>
        <v>36.450000000000003</v>
      </c>
      <c r="G191" s="14" t="str">
        <f>INDEX(orders!$P:$P,MATCH(A191,orders!$C:$C,0))</f>
        <v>Yes</v>
      </c>
      <c r="H191" s="17">
        <f t="shared" si="14"/>
        <v>1</v>
      </c>
      <c r="I191" s="14">
        <f t="shared" si="15"/>
        <v>1</v>
      </c>
      <c r="J191">
        <f t="shared" si="16"/>
        <v>3</v>
      </c>
      <c r="K191" s="14">
        <f t="shared" si="17"/>
        <v>5</v>
      </c>
      <c r="L191" t="str">
        <f t="shared" si="18"/>
        <v>Lapsed One-Time Buyers</v>
      </c>
    </row>
    <row r="192" spans="1:12" x14ac:dyDescent="0.3">
      <c r="A192" s="12" t="s">
        <v>5615</v>
      </c>
      <c r="B192" s="14" t="str">
        <f>INDEX(orders!$F:$F,MATCH(A192,orders!$C:$C,0))</f>
        <v>Lauritz Ledgley</v>
      </c>
      <c r="C192" s="15">
        <f>_xlfn.MAXIFS(orders!$B:$B,orders!$C:$C,A192)</f>
        <v>44588</v>
      </c>
      <c r="D192" s="14">
        <f t="shared" si="13"/>
        <v>205</v>
      </c>
      <c r="E192" s="14">
        <f>COUNTIFS(orders!$C:$C,A192)</f>
        <v>1</v>
      </c>
      <c r="F192" s="16">
        <f>SUMIFS(orders!$M:$M,orders!$C:$C,A192)</f>
        <v>27</v>
      </c>
      <c r="G192" s="14" t="str">
        <f>INDEX(orders!$P:$P,MATCH(A192,orders!$C:$C,0))</f>
        <v>Yes</v>
      </c>
      <c r="H192" s="17">
        <f t="shared" si="14"/>
        <v>5</v>
      </c>
      <c r="I192" s="14">
        <f t="shared" si="15"/>
        <v>1</v>
      </c>
      <c r="J192">
        <f t="shared" si="16"/>
        <v>3</v>
      </c>
      <c r="K192" s="14">
        <f t="shared" si="17"/>
        <v>9</v>
      </c>
      <c r="L192" t="str">
        <f t="shared" si="18"/>
        <v>Standard One-Time Buyers</v>
      </c>
    </row>
    <row r="193" spans="1:12" x14ac:dyDescent="0.3">
      <c r="A193" s="12" t="s">
        <v>5434</v>
      </c>
      <c r="B193" s="14" t="str">
        <f>INDEX(orders!$F:$F,MATCH(A193,orders!$C:$C,0))</f>
        <v>Jaquenette Skentelbery</v>
      </c>
      <c r="C193" s="15">
        <f>_xlfn.MAXIFS(orders!$B:$B,orders!$C:$C,A193)</f>
        <v>43680</v>
      </c>
      <c r="D193" s="14">
        <f t="shared" si="13"/>
        <v>1113</v>
      </c>
      <c r="E193" s="14">
        <f>COUNTIFS(orders!$C:$C,A193)</f>
        <v>1</v>
      </c>
      <c r="F193" s="16">
        <f>SUMIFS(orders!$M:$M,orders!$C:$C,A193)</f>
        <v>25.9</v>
      </c>
      <c r="G193" s="14" t="str">
        <f>INDEX(orders!$P:$P,MATCH(A193,orders!$C:$C,0))</f>
        <v>No</v>
      </c>
      <c r="H193" s="17">
        <f t="shared" si="14"/>
        <v>1</v>
      </c>
      <c r="I193" s="14">
        <f t="shared" si="15"/>
        <v>1</v>
      </c>
      <c r="J193">
        <f t="shared" si="16"/>
        <v>3</v>
      </c>
      <c r="K193" s="14">
        <f t="shared" si="17"/>
        <v>5</v>
      </c>
      <c r="L193" t="str">
        <f t="shared" si="18"/>
        <v>Lapsed One-Time Buyers</v>
      </c>
    </row>
    <row r="194" spans="1:12" x14ac:dyDescent="0.3">
      <c r="A194" s="12" t="s">
        <v>1141</v>
      </c>
      <c r="B194" s="14" t="str">
        <f>INDEX(orders!$F:$F,MATCH(A194,orders!$C:$C,0))</f>
        <v>Geneva Standley</v>
      </c>
      <c r="C194" s="15">
        <f>_xlfn.MAXIFS(orders!$B:$B,orders!$C:$C,A194)</f>
        <v>44054</v>
      </c>
      <c r="D194" s="14">
        <f t="shared" si="13"/>
        <v>739</v>
      </c>
      <c r="E194" s="14">
        <f>COUNTIFS(orders!$C:$C,A194)</f>
        <v>1</v>
      </c>
      <c r="F194" s="16">
        <f>SUMIFS(orders!$M:$M,orders!$C:$C,A194)</f>
        <v>19.02</v>
      </c>
      <c r="G194" s="14" t="str">
        <f>INDEX(orders!$P:$P,MATCH(A194,orders!$C:$C,0))</f>
        <v>Yes</v>
      </c>
      <c r="H194" s="17">
        <f t="shared" si="14"/>
        <v>3</v>
      </c>
      <c r="I194" s="14">
        <f t="shared" si="15"/>
        <v>1</v>
      </c>
      <c r="J194">
        <f t="shared" si="16"/>
        <v>2</v>
      </c>
      <c r="K194" s="14">
        <f t="shared" si="17"/>
        <v>6</v>
      </c>
      <c r="L194" t="str">
        <f t="shared" si="18"/>
        <v>Standard One-Time Buyers</v>
      </c>
    </row>
    <row r="195" spans="1:12" x14ac:dyDescent="0.3">
      <c r="A195" s="12" t="s">
        <v>4621</v>
      </c>
      <c r="B195" s="14" t="str">
        <f>INDEX(orders!$F:$F,MATCH(A195,orders!$C:$C,0))</f>
        <v>Leta Clarricoates</v>
      </c>
      <c r="C195" s="15">
        <f>_xlfn.MAXIFS(orders!$B:$B,orders!$C:$C,A195)</f>
        <v>44222</v>
      </c>
      <c r="D195" s="14">
        <f t="shared" si="13"/>
        <v>571</v>
      </c>
      <c r="E195" s="14">
        <f>COUNTIFS(orders!$C:$C,A195)</f>
        <v>1</v>
      </c>
      <c r="F195" s="16">
        <f>SUMIFS(orders!$M:$M,orders!$C:$C,A195)</f>
        <v>15.54</v>
      </c>
      <c r="G195" s="14" t="str">
        <f>INDEX(orders!$P:$P,MATCH(A195,orders!$C:$C,0))</f>
        <v>Yes</v>
      </c>
      <c r="H195" s="17">
        <f t="shared" si="14"/>
        <v>3</v>
      </c>
      <c r="I195" s="14">
        <f t="shared" si="15"/>
        <v>1</v>
      </c>
      <c r="J195">
        <f t="shared" si="16"/>
        <v>2</v>
      </c>
      <c r="K195" s="14">
        <f t="shared" si="17"/>
        <v>6</v>
      </c>
      <c r="L195" t="str">
        <f t="shared" si="18"/>
        <v>Standard One-Time Buyers</v>
      </c>
    </row>
    <row r="196" spans="1:12" x14ac:dyDescent="0.3">
      <c r="A196" s="12" t="s">
        <v>3961</v>
      </c>
      <c r="B196" s="14" t="str">
        <f>INDEX(orders!$F:$F,MATCH(A196,orders!$C:$C,0))</f>
        <v>Shay Couronne</v>
      </c>
      <c r="C196" s="15">
        <f>_xlfn.MAXIFS(orders!$B:$B,orders!$C:$C,A196)</f>
        <v>44006</v>
      </c>
      <c r="D196" s="14">
        <f t="shared" si="13"/>
        <v>787</v>
      </c>
      <c r="E196" s="14">
        <f>COUNTIFS(orders!$C:$C,A196)</f>
        <v>1</v>
      </c>
      <c r="F196" s="16">
        <f>SUMIFS(orders!$M:$M,orders!$C:$C,A196)</f>
        <v>72.91</v>
      </c>
      <c r="G196" s="14" t="str">
        <f>INDEX(orders!$P:$P,MATCH(A196,orders!$C:$C,0))</f>
        <v>Yes</v>
      </c>
      <c r="H196" s="17">
        <f t="shared" si="14"/>
        <v>2</v>
      </c>
      <c r="I196" s="14">
        <f t="shared" si="15"/>
        <v>1</v>
      </c>
      <c r="J196">
        <f t="shared" si="16"/>
        <v>4</v>
      </c>
      <c r="K196" s="14">
        <f t="shared" si="17"/>
        <v>7</v>
      </c>
      <c r="L196" t="str">
        <f t="shared" si="18"/>
        <v>Lapsed One-Time Buyers</v>
      </c>
    </row>
    <row r="197" spans="1:12" x14ac:dyDescent="0.3">
      <c r="A197" s="12" t="s">
        <v>5462</v>
      </c>
      <c r="B197" s="14" t="str">
        <f>INDEX(orders!$F:$F,MATCH(A197,orders!$C:$C,0))</f>
        <v>Brittani Thoresbie</v>
      </c>
      <c r="C197" s="15">
        <f>_xlfn.MAXIFS(orders!$B:$B,orders!$C:$C,A197)</f>
        <v>43630</v>
      </c>
      <c r="D197" s="14">
        <f t="shared" si="13"/>
        <v>1163</v>
      </c>
      <c r="E197" s="14">
        <f>COUNTIFS(orders!$C:$C,A197)</f>
        <v>1</v>
      </c>
      <c r="F197" s="16">
        <f>SUMIFS(orders!$M:$M,orders!$C:$C,A197)</f>
        <v>10.935</v>
      </c>
      <c r="G197" s="14" t="str">
        <f>INDEX(orders!$P:$P,MATCH(A197,orders!$C:$C,0))</f>
        <v>No</v>
      </c>
      <c r="H197" s="17">
        <f t="shared" si="14"/>
        <v>1</v>
      </c>
      <c r="I197" s="14">
        <f t="shared" si="15"/>
        <v>1</v>
      </c>
      <c r="J197">
        <f t="shared" si="16"/>
        <v>1</v>
      </c>
      <c r="K197" s="14">
        <f t="shared" si="17"/>
        <v>3</v>
      </c>
      <c r="L197" t="str">
        <f t="shared" si="18"/>
        <v>Lapsed One-Time Buyers</v>
      </c>
    </row>
    <row r="198" spans="1:12" x14ac:dyDescent="0.3">
      <c r="A198" s="12" t="s">
        <v>1890</v>
      </c>
      <c r="B198" s="14" t="str">
        <f>INDEX(orders!$F:$F,MATCH(A198,orders!$C:$C,0))</f>
        <v>Lyn Entwistle</v>
      </c>
      <c r="C198" s="15">
        <f>_xlfn.MAXIFS(orders!$B:$B,orders!$C:$C,A198)</f>
        <v>44019</v>
      </c>
      <c r="D198" s="14">
        <f t="shared" ref="D198:D261" si="19">$B$1-C198</f>
        <v>774</v>
      </c>
      <c r="E198" s="14">
        <f>COUNTIFS(orders!$C:$C,A198)</f>
        <v>1</v>
      </c>
      <c r="F198" s="16">
        <f>SUMIFS(orders!$M:$M,orders!$C:$C,A198)</f>
        <v>9.9499999999999993</v>
      </c>
      <c r="G198" s="14" t="str">
        <f>INDEX(orders!$P:$P,MATCH(A198,orders!$C:$C,0))</f>
        <v>Yes</v>
      </c>
      <c r="H198" s="17">
        <f t="shared" ref="H198:H261" si="20">IF(D198&lt;=$E$1,5,IF(D198&lt;=$F$1,4,IF(D198&lt;=$G$1,3,IF(D198&lt;=$H$1,2,1))))</f>
        <v>2</v>
      </c>
      <c r="I198" s="14">
        <f t="shared" ref="I198:I261" si="21">IF(E198&lt;=1,1,IF(E198&lt;=2,3,5))</f>
        <v>1</v>
      </c>
      <c r="J198">
        <f t="shared" ref="J198:J261" si="22">IF(F198&lt;=PERCENTILE($F$5:$F$917,0.2),1,IF(F198&lt;=PERCENTILE($F$5:$F$917,0.4),2,IF(F198&lt;=PERCENTILE($F$5:$F$917,0.6),3,IF(F198&lt;=PERCENTILE($F$5:$F$917,0.8),4,5))))</f>
        <v>1</v>
      </c>
      <c r="K198" s="14">
        <f t="shared" ref="K198:K261" si="23">H198+I198+J198</f>
        <v>4</v>
      </c>
      <c r="L198" t="str">
        <f t="shared" ref="L198:L261" si="24">IF(AND(E198&gt;=2,H198&gt;=4),"Loyal Repeat Customers",IF(E198&gt;=2,"At-Risk Repeat Customers",IF(AND(H198&gt;=4,J198&gt;=4),"Recent High-Value (One-Time)",IF(H198&lt;=2,"Lapsed One-Time Buyers","Standard One-Time Buyers"))))</f>
        <v>Lapsed One-Time Buyers</v>
      </c>
    </row>
    <row r="199" spans="1:12" x14ac:dyDescent="0.3">
      <c r="A199" s="12" t="s">
        <v>4910</v>
      </c>
      <c r="B199" s="14" t="str">
        <f>INDEX(orders!$F:$F,MATCH(A199,orders!$C:$C,0))</f>
        <v>Adorne Gregoratti</v>
      </c>
      <c r="C199" s="15">
        <f>_xlfn.MAXIFS(orders!$B:$B,orders!$C:$C,A199)</f>
        <v>43897</v>
      </c>
      <c r="D199" s="14">
        <f t="shared" si="19"/>
        <v>896</v>
      </c>
      <c r="E199" s="14">
        <f>COUNTIFS(orders!$C:$C,A199)</f>
        <v>1</v>
      </c>
      <c r="F199" s="16">
        <f>SUMIFS(orders!$M:$M,orders!$C:$C,A199)</f>
        <v>26.73</v>
      </c>
      <c r="G199" s="14" t="str">
        <f>INDEX(orders!$P:$P,MATCH(A199,orders!$C:$C,0))</f>
        <v>No</v>
      </c>
      <c r="H199" s="17">
        <f t="shared" si="20"/>
        <v>2</v>
      </c>
      <c r="I199" s="14">
        <f t="shared" si="21"/>
        <v>1</v>
      </c>
      <c r="J199">
        <f t="shared" si="22"/>
        <v>3</v>
      </c>
      <c r="K199" s="14">
        <f t="shared" si="23"/>
        <v>6</v>
      </c>
      <c r="L199" t="str">
        <f t="shared" si="24"/>
        <v>Lapsed One-Time Buyers</v>
      </c>
    </row>
    <row r="200" spans="1:12" x14ac:dyDescent="0.3">
      <c r="A200" s="12" t="s">
        <v>502</v>
      </c>
      <c r="B200" s="14" t="str">
        <f>INDEX(orders!$F:$F,MATCH(A200,orders!$C:$C,0))</f>
        <v>Jami Redholes</v>
      </c>
      <c r="C200" s="15">
        <f>_xlfn.MAXIFS(orders!$B:$B,orders!$C:$C,A200)</f>
        <v>44364</v>
      </c>
      <c r="D200" s="14">
        <f t="shared" si="19"/>
        <v>429</v>
      </c>
      <c r="E200" s="14">
        <f>COUNTIFS(orders!$C:$C,A200)</f>
        <v>1</v>
      </c>
      <c r="F200" s="16">
        <f>SUMIFS(orders!$M:$M,orders!$C:$C,A200)</f>
        <v>12.95</v>
      </c>
      <c r="G200" s="14" t="str">
        <f>INDEX(orders!$P:$P,MATCH(A200,orders!$C:$C,0))</f>
        <v>Yes</v>
      </c>
      <c r="H200" s="17">
        <f t="shared" si="20"/>
        <v>4</v>
      </c>
      <c r="I200" s="14">
        <f t="shared" si="21"/>
        <v>1</v>
      </c>
      <c r="J200">
        <f t="shared" si="22"/>
        <v>1</v>
      </c>
      <c r="K200" s="14">
        <f t="shared" si="23"/>
        <v>6</v>
      </c>
      <c r="L200" t="str">
        <f t="shared" si="24"/>
        <v>Standard One-Time Buyers</v>
      </c>
    </row>
    <row r="201" spans="1:12" x14ac:dyDescent="0.3">
      <c r="A201" s="12" t="s">
        <v>531</v>
      </c>
      <c r="B201" s="14" t="str">
        <f>INDEX(orders!$F:$F,MATCH(A201,orders!$C:$C,0))</f>
        <v>Melvin Wharfe</v>
      </c>
      <c r="C201" s="15">
        <f>_xlfn.MAXIFS(orders!$B:$B,orders!$C:$C,A201)</f>
        <v>44701</v>
      </c>
      <c r="D201" s="14">
        <f t="shared" si="19"/>
        <v>92</v>
      </c>
      <c r="E201" s="14">
        <f>COUNTIFS(orders!$C:$C,A201)</f>
        <v>1</v>
      </c>
      <c r="F201" s="16">
        <f>SUMIFS(orders!$M:$M,orders!$C:$C,A201)</f>
        <v>4.7549999999999999</v>
      </c>
      <c r="G201" s="14" t="str">
        <f>INDEX(orders!$P:$P,MATCH(A201,orders!$C:$C,0))</f>
        <v>Yes</v>
      </c>
      <c r="H201" s="17">
        <f t="shared" si="20"/>
        <v>5</v>
      </c>
      <c r="I201" s="14">
        <f t="shared" si="21"/>
        <v>1</v>
      </c>
      <c r="J201">
        <f t="shared" si="22"/>
        <v>1</v>
      </c>
      <c r="K201" s="14">
        <f t="shared" si="23"/>
        <v>7</v>
      </c>
      <c r="L201" t="str">
        <f t="shared" si="24"/>
        <v>Standard One-Time Buyers</v>
      </c>
    </row>
    <row r="202" spans="1:12" x14ac:dyDescent="0.3">
      <c r="A202" s="12" t="s">
        <v>4489</v>
      </c>
      <c r="B202" s="14" t="str">
        <f>INDEX(orders!$F:$F,MATCH(A202,orders!$C:$C,0))</f>
        <v>Shelli De Banke</v>
      </c>
      <c r="C202" s="15">
        <f>_xlfn.MAXIFS(orders!$B:$B,orders!$C:$C,A202)</f>
        <v>43804</v>
      </c>
      <c r="D202" s="14">
        <f t="shared" si="19"/>
        <v>989</v>
      </c>
      <c r="E202" s="14">
        <f>COUNTIFS(orders!$C:$C,A202)</f>
        <v>1</v>
      </c>
      <c r="F202" s="16">
        <f>SUMIFS(orders!$M:$M,orders!$C:$C,A202)</f>
        <v>13.5</v>
      </c>
      <c r="G202" s="14" t="str">
        <f>INDEX(orders!$P:$P,MATCH(A202,orders!$C:$C,0))</f>
        <v>Yes</v>
      </c>
      <c r="H202" s="17">
        <f t="shared" si="20"/>
        <v>2</v>
      </c>
      <c r="I202" s="14">
        <f t="shared" si="21"/>
        <v>1</v>
      </c>
      <c r="J202">
        <f t="shared" si="22"/>
        <v>1</v>
      </c>
      <c r="K202" s="14">
        <f t="shared" si="23"/>
        <v>4</v>
      </c>
      <c r="L202" t="str">
        <f t="shared" si="24"/>
        <v>Lapsed One-Time Buyers</v>
      </c>
    </row>
    <row r="203" spans="1:12" x14ac:dyDescent="0.3">
      <c r="A203" s="12" t="s">
        <v>2149</v>
      </c>
      <c r="B203" s="14" t="str">
        <f>INDEX(orders!$F:$F,MATCH(A203,orders!$C:$C,0))</f>
        <v>Micki Fero</v>
      </c>
      <c r="C203" s="15">
        <f>_xlfn.MAXIFS(orders!$B:$B,orders!$C:$C,A203)</f>
        <v>44659</v>
      </c>
      <c r="D203" s="14">
        <f t="shared" si="19"/>
        <v>134</v>
      </c>
      <c r="E203" s="14">
        <f>COUNTIFS(orders!$C:$C,A203)</f>
        <v>1</v>
      </c>
      <c r="F203" s="16">
        <f>SUMIFS(orders!$M:$M,orders!$C:$C,A203)</f>
        <v>44.55</v>
      </c>
      <c r="G203" s="14" t="str">
        <f>INDEX(orders!$P:$P,MATCH(A203,orders!$C:$C,0))</f>
        <v>No</v>
      </c>
      <c r="H203" s="17">
        <f t="shared" si="20"/>
        <v>5</v>
      </c>
      <c r="I203" s="14">
        <f t="shared" si="21"/>
        <v>1</v>
      </c>
      <c r="J203">
        <f t="shared" si="22"/>
        <v>4</v>
      </c>
      <c r="K203" s="14">
        <f t="shared" si="23"/>
        <v>10</v>
      </c>
      <c r="L203" t="str">
        <f t="shared" si="24"/>
        <v>Recent High-Value (One-Time)</v>
      </c>
    </row>
    <row r="204" spans="1:12" x14ac:dyDescent="0.3">
      <c r="A204" s="12" t="s">
        <v>716</v>
      </c>
      <c r="B204" s="14" t="str">
        <f>INDEX(orders!$F:$F,MATCH(A204,orders!$C:$C,0))</f>
        <v>Jessica McNess</v>
      </c>
      <c r="C204" s="15">
        <f>_xlfn.MAXIFS(orders!$B:$B,orders!$C:$C,A204)</f>
        <v>44305</v>
      </c>
      <c r="D204" s="14">
        <f t="shared" si="19"/>
        <v>488</v>
      </c>
      <c r="E204" s="14">
        <f>COUNTIFS(orders!$C:$C,A204)</f>
        <v>1</v>
      </c>
      <c r="F204" s="16">
        <f>SUMIFS(orders!$M:$M,orders!$C:$C,A204)</f>
        <v>43.650000000000006</v>
      </c>
      <c r="G204" s="14" t="str">
        <f>INDEX(orders!$P:$P,MATCH(A204,orders!$C:$C,0))</f>
        <v>No</v>
      </c>
      <c r="H204" s="17">
        <f t="shared" si="20"/>
        <v>4</v>
      </c>
      <c r="I204" s="14">
        <f t="shared" si="21"/>
        <v>1</v>
      </c>
      <c r="J204">
        <f t="shared" si="22"/>
        <v>4</v>
      </c>
      <c r="K204" s="14">
        <f t="shared" si="23"/>
        <v>9</v>
      </c>
      <c r="L204" t="str">
        <f t="shared" si="24"/>
        <v>Recent High-Value (One-Time)</v>
      </c>
    </row>
    <row r="205" spans="1:12" x14ac:dyDescent="0.3">
      <c r="A205" s="12" t="s">
        <v>4980</v>
      </c>
      <c r="B205" s="14" t="str">
        <f>INDEX(orders!$F:$F,MATCH(A205,orders!$C:$C,0))</f>
        <v>Gregorius Trengrove</v>
      </c>
      <c r="C205" s="15">
        <f>_xlfn.MAXIFS(orders!$B:$B,orders!$C:$C,A205)</f>
        <v>43987</v>
      </c>
      <c r="D205" s="14">
        <f t="shared" si="19"/>
        <v>806</v>
      </c>
      <c r="E205" s="14">
        <f>COUNTIFS(orders!$C:$C,A205)</f>
        <v>1</v>
      </c>
      <c r="F205" s="16">
        <f>SUMIFS(orders!$M:$M,orders!$C:$C,A205)</f>
        <v>148.92499999999998</v>
      </c>
      <c r="G205" s="14" t="str">
        <f>INDEX(orders!$P:$P,MATCH(A205,orders!$C:$C,0))</f>
        <v>No</v>
      </c>
      <c r="H205" s="17">
        <f t="shared" si="20"/>
        <v>2</v>
      </c>
      <c r="I205" s="14">
        <f t="shared" si="21"/>
        <v>1</v>
      </c>
      <c r="J205">
        <f t="shared" si="22"/>
        <v>5</v>
      </c>
      <c r="K205" s="14">
        <f t="shared" si="23"/>
        <v>8</v>
      </c>
      <c r="L205" t="str">
        <f t="shared" si="24"/>
        <v>Lapsed One-Time Buyers</v>
      </c>
    </row>
    <row r="206" spans="1:12" x14ac:dyDescent="0.3">
      <c r="A206" s="12" t="s">
        <v>5457</v>
      </c>
      <c r="B206" s="14" t="str">
        <f>INDEX(orders!$F:$F,MATCH(A206,orders!$C:$C,0))</f>
        <v>Izaak Primak</v>
      </c>
      <c r="C206" s="15">
        <f>_xlfn.MAXIFS(orders!$B:$B,orders!$C:$C,A206)</f>
        <v>44323</v>
      </c>
      <c r="D206" s="14">
        <f t="shared" si="19"/>
        <v>470</v>
      </c>
      <c r="E206" s="14">
        <f>COUNTIFS(orders!$C:$C,A206)</f>
        <v>1</v>
      </c>
      <c r="F206" s="16">
        <f>SUMIFS(orders!$M:$M,orders!$C:$C,A206)</f>
        <v>27.484999999999996</v>
      </c>
      <c r="G206" s="14" t="str">
        <f>INDEX(orders!$P:$P,MATCH(A206,orders!$C:$C,0))</f>
        <v>Yes</v>
      </c>
      <c r="H206" s="17">
        <f t="shared" si="20"/>
        <v>4</v>
      </c>
      <c r="I206" s="14">
        <f t="shared" si="21"/>
        <v>1</v>
      </c>
      <c r="J206">
        <f t="shared" si="22"/>
        <v>3</v>
      </c>
      <c r="K206" s="14">
        <f t="shared" si="23"/>
        <v>8</v>
      </c>
      <c r="L206" t="str">
        <f t="shared" si="24"/>
        <v>Standard One-Time Buyers</v>
      </c>
    </row>
    <row r="207" spans="1:12" x14ac:dyDescent="0.3">
      <c r="A207" s="12" t="s">
        <v>4372</v>
      </c>
      <c r="B207" s="14" t="str">
        <f>INDEX(orders!$F:$F,MATCH(A207,orders!$C:$C,0))</f>
        <v>Wilton Cottier</v>
      </c>
      <c r="C207" s="15">
        <f>_xlfn.MAXIFS(orders!$B:$B,orders!$C:$C,A207)</f>
        <v>43471</v>
      </c>
      <c r="D207" s="14">
        <f t="shared" si="19"/>
        <v>1322</v>
      </c>
      <c r="E207" s="14">
        <f>COUNTIFS(orders!$C:$C,A207)</f>
        <v>1</v>
      </c>
      <c r="F207" s="16">
        <f>SUMIFS(orders!$M:$M,orders!$C:$C,A207)</f>
        <v>16.5</v>
      </c>
      <c r="G207" s="14" t="str">
        <f>INDEX(orders!$P:$P,MATCH(A207,orders!$C:$C,0))</f>
        <v>No</v>
      </c>
      <c r="H207" s="17">
        <f t="shared" si="20"/>
        <v>1</v>
      </c>
      <c r="I207" s="14">
        <f t="shared" si="21"/>
        <v>1</v>
      </c>
      <c r="J207">
        <f t="shared" si="22"/>
        <v>2</v>
      </c>
      <c r="K207" s="14">
        <f t="shared" si="23"/>
        <v>4</v>
      </c>
      <c r="L207" t="str">
        <f t="shared" si="24"/>
        <v>Lapsed One-Time Buyers</v>
      </c>
    </row>
    <row r="208" spans="1:12" x14ac:dyDescent="0.3">
      <c r="A208" s="12" t="s">
        <v>2929</v>
      </c>
      <c r="B208" s="14" t="str">
        <f>INDEX(orders!$F:$F,MATCH(A208,orders!$C:$C,0))</f>
        <v>Lemuel Rignold</v>
      </c>
      <c r="C208" s="15">
        <f>_xlfn.MAXIFS(orders!$B:$B,orders!$C:$C,A208)</f>
        <v>44563</v>
      </c>
      <c r="D208" s="14">
        <f t="shared" si="19"/>
        <v>230</v>
      </c>
      <c r="E208" s="14">
        <f>COUNTIFS(orders!$C:$C,A208)</f>
        <v>1</v>
      </c>
      <c r="F208" s="16">
        <f>SUMIFS(orders!$M:$M,orders!$C:$C,A208)</f>
        <v>200.78999999999996</v>
      </c>
      <c r="G208" s="14" t="str">
        <f>INDEX(orders!$P:$P,MATCH(A208,orders!$C:$C,0))</f>
        <v>Yes</v>
      </c>
      <c r="H208" s="17">
        <f t="shared" si="20"/>
        <v>5</v>
      </c>
      <c r="I208" s="14">
        <f t="shared" si="21"/>
        <v>1</v>
      </c>
      <c r="J208">
        <f t="shared" si="22"/>
        <v>5</v>
      </c>
      <c r="K208" s="14">
        <f t="shared" si="23"/>
        <v>11</v>
      </c>
      <c r="L208" t="str">
        <f t="shared" si="24"/>
        <v>Recent High-Value (One-Time)</v>
      </c>
    </row>
    <row r="209" spans="1:12" x14ac:dyDescent="0.3">
      <c r="A209" s="12" t="s">
        <v>2651</v>
      </c>
      <c r="B209" s="14" t="str">
        <f>INDEX(orders!$F:$F,MATCH(A209,orders!$C:$C,0))</f>
        <v>Marty Kidstoun</v>
      </c>
      <c r="C209" s="15">
        <f>_xlfn.MAXIFS(orders!$B:$B,orders!$C:$C,A209)</f>
        <v>43586</v>
      </c>
      <c r="D209" s="14">
        <f t="shared" si="19"/>
        <v>1207</v>
      </c>
      <c r="E209" s="14">
        <f>COUNTIFS(orders!$C:$C,A209)</f>
        <v>1</v>
      </c>
      <c r="F209" s="16">
        <f>SUMIFS(orders!$M:$M,orders!$C:$C,A209)</f>
        <v>53.46</v>
      </c>
      <c r="G209" s="14" t="str">
        <f>INDEX(orders!$P:$P,MATCH(A209,orders!$C:$C,0))</f>
        <v>Yes</v>
      </c>
      <c r="H209" s="17">
        <f t="shared" si="20"/>
        <v>1</v>
      </c>
      <c r="I209" s="14">
        <f t="shared" si="21"/>
        <v>1</v>
      </c>
      <c r="J209">
        <f t="shared" si="22"/>
        <v>4</v>
      </c>
      <c r="K209" s="14">
        <f t="shared" si="23"/>
        <v>6</v>
      </c>
      <c r="L209" t="str">
        <f t="shared" si="24"/>
        <v>Lapsed One-Time Buyers</v>
      </c>
    </row>
    <row r="210" spans="1:12" x14ac:dyDescent="0.3">
      <c r="A210" s="12" t="s">
        <v>795</v>
      </c>
      <c r="B210" s="14" t="str">
        <f>INDEX(orders!$F:$F,MATCH(A210,orders!$C:$C,0))</f>
        <v>Archambault Gillard</v>
      </c>
      <c r="C210" s="15">
        <f>_xlfn.MAXIFS(orders!$B:$B,orders!$C:$C,A210)</f>
        <v>44271</v>
      </c>
      <c r="D210" s="14">
        <f t="shared" si="19"/>
        <v>522</v>
      </c>
      <c r="E210" s="14">
        <f>COUNTIFS(orders!$C:$C,A210)</f>
        <v>1</v>
      </c>
      <c r="F210" s="16">
        <f>SUMIFS(orders!$M:$M,orders!$C:$C,A210)</f>
        <v>72.75</v>
      </c>
      <c r="G210" s="14" t="str">
        <f>INDEX(orders!$P:$P,MATCH(A210,orders!$C:$C,0))</f>
        <v>No</v>
      </c>
      <c r="H210" s="17">
        <f t="shared" si="20"/>
        <v>3</v>
      </c>
      <c r="I210" s="14">
        <f t="shared" si="21"/>
        <v>1</v>
      </c>
      <c r="J210">
        <f t="shared" si="22"/>
        <v>4</v>
      </c>
      <c r="K210" s="14">
        <f t="shared" si="23"/>
        <v>8</v>
      </c>
      <c r="L210" t="str">
        <f t="shared" si="24"/>
        <v>Standard One-Time Buyers</v>
      </c>
    </row>
    <row r="211" spans="1:12" x14ac:dyDescent="0.3">
      <c r="A211" s="12" t="s">
        <v>3131</v>
      </c>
      <c r="B211" s="14" t="str">
        <f>INDEX(orders!$F:$F,MATCH(A211,orders!$C:$C,0))</f>
        <v>Rhona Lequeux</v>
      </c>
      <c r="C211" s="15">
        <f>_xlfn.MAXIFS(orders!$B:$B,orders!$C:$C,A211)</f>
        <v>44536</v>
      </c>
      <c r="D211" s="14">
        <f t="shared" si="19"/>
        <v>257</v>
      </c>
      <c r="E211" s="14">
        <f>COUNTIFS(orders!$C:$C,A211)</f>
        <v>1</v>
      </c>
      <c r="F211" s="16">
        <f>SUMIFS(orders!$M:$M,orders!$C:$C,A211)</f>
        <v>5.97</v>
      </c>
      <c r="G211" s="14" t="str">
        <f>INDEX(orders!$P:$P,MATCH(A211,orders!$C:$C,0))</f>
        <v>No</v>
      </c>
      <c r="H211" s="17">
        <f t="shared" si="20"/>
        <v>5</v>
      </c>
      <c r="I211" s="14">
        <f t="shared" si="21"/>
        <v>1</v>
      </c>
      <c r="J211">
        <f t="shared" si="22"/>
        <v>1</v>
      </c>
      <c r="K211" s="14">
        <f t="shared" si="23"/>
        <v>7</v>
      </c>
      <c r="L211" t="str">
        <f t="shared" si="24"/>
        <v>Standard One-Time Buyers</v>
      </c>
    </row>
    <row r="212" spans="1:12" x14ac:dyDescent="0.3">
      <c r="A212" s="12" t="s">
        <v>1101</v>
      </c>
      <c r="B212" s="14" t="str">
        <f>INDEX(orders!$F:$F,MATCH(A212,orders!$C:$C,0))</f>
        <v>Terry Sheryn</v>
      </c>
      <c r="C212" s="15">
        <f>_xlfn.MAXIFS(orders!$B:$B,orders!$C:$C,A212)</f>
        <v>43811</v>
      </c>
      <c r="D212" s="14">
        <f t="shared" si="19"/>
        <v>982</v>
      </c>
      <c r="E212" s="14">
        <f>COUNTIFS(orders!$C:$C,A212)</f>
        <v>1</v>
      </c>
      <c r="F212" s="16">
        <f>SUMIFS(orders!$M:$M,orders!$C:$C,A212)</f>
        <v>7.77</v>
      </c>
      <c r="G212" s="14" t="str">
        <f>INDEX(orders!$P:$P,MATCH(A212,orders!$C:$C,0))</f>
        <v>Yes</v>
      </c>
      <c r="H212" s="17">
        <f t="shared" si="20"/>
        <v>2</v>
      </c>
      <c r="I212" s="14">
        <f t="shared" si="21"/>
        <v>1</v>
      </c>
      <c r="J212">
        <f t="shared" si="22"/>
        <v>1</v>
      </c>
      <c r="K212" s="14">
        <f t="shared" si="23"/>
        <v>4</v>
      </c>
      <c r="L212" t="str">
        <f t="shared" si="24"/>
        <v>Lapsed One-Time Buyers</v>
      </c>
    </row>
    <row r="213" spans="1:12" x14ac:dyDescent="0.3">
      <c r="A213" s="12" t="s">
        <v>2210</v>
      </c>
      <c r="B213" s="14" t="str">
        <f>INDEX(orders!$F:$F,MATCH(A213,orders!$C:$C,0))</f>
        <v>Benn Checci</v>
      </c>
      <c r="C213" s="15">
        <f>_xlfn.MAXIFS(orders!$B:$B,orders!$C:$C,A213)</f>
        <v>43796</v>
      </c>
      <c r="D213" s="14">
        <f t="shared" si="19"/>
        <v>997</v>
      </c>
      <c r="E213" s="14">
        <f>COUNTIFS(orders!$C:$C,A213)</f>
        <v>1</v>
      </c>
      <c r="F213" s="16">
        <f>SUMIFS(orders!$M:$M,orders!$C:$C,A213)</f>
        <v>21.825000000000003</v>
      </c>
      <c r="G213" s="14" t="str">
        <f>INDEX(orders!$P:$P,MATCH(A213,orders!$C:$C,0))</f>
        <v>No</v>
      </c>
      <c r="H213" s="17">
        <f t="shared" si="20"/>
        <v>2</v>
      </c>
      <c r="I213" s="14">
        <f t="shared" si="21"/>
        <v>1</v>
      </c>
      <c r="J213">
        <f t="shared" si="22"/>
        <v>2</v>
      </c>
      <c r="K213" s="14">
        <f t="shared" si="23"/>
        <v>5</v>
      </c>
      <c r="L213" t="str">
        <f t="shared" si="24"/>
        <v>Lapsed One-Time Buyers</v>
      </c>
    </row>
    <row r="214" spans="1:12" x14ac:dyDescent="0.3">
      <c r="A214" s="12" t="s">
        <v>5340</v>
      </c>
      <c r="B214" s="14" t="str">
        <f>INDEX(orders!$F:$F,MATCH(A214,orders!$C:$C,0))</f>
        <v>Shelley Titley</v>
      </c>
      <c r="C214" s="15">
        <f>_xlfn.MAXIFS(orders!$B:$B,orders!$C:$C,A214)</f>
        <v>43638</v>
      </c>
      <c r="D214" s="14">
        <f t="shared" si="19"/>
        <v>1155</v>
      </c>
      <c r="E214" s="14">
        <f>COUNTIFS(orders!$C:$C,A214)</f>
        <v>1</v>
      </c>
      <c r="F214" s="16">
        <f>SUMIFS(orders!$M:$M,orders!$C:$C,A214)</f>
        <v>34.92</v>
      </c>
      <c r="G214" s="14" t="str">
        <f>INDEX(orders!$P:$P,MATCH(A214,orders!$C:$C,0))</f>
        <v>No</v>
      </c>
      <c r="H214" s="17">
        <f t="shared" si="20"/>
        <v>1</v>
      </c>
      <c r="I214" s="14">
        <f t="shared" si="21"/>
        <v>1</v>
      </c>
      <c r="J214">
        <f t="shared" si="22"/>
        <v>3</v>
      </c>
      <c r="K214" s="14">
        <f t="shared" si="23"/>
        <v>5</v>
      </c>
      <c r="L214" t="str">
        <f t="shared" si="24"/>
        <v>Lapsed One-Time Buyers</v>
      </c>
    </row>
    <row r="215" spans="1:12" x14ac:dyDescent="0.3">
      <c r="A215" s="12" t="s">
        <v>3324</v>
      </c>
      <c r="B215" s="14" t="str">
        <f>INDEX(orders!$F:$F,MATCH(A215,orders!$C:$C,0))</f>
        <v>Gladi Ducker</v>
      </c>
      <c r="C215" s="15">
        <f>_xlfn.MAXIFS(orders!$B:$B,orders!$C:$C,A215)</f>
        <v>43467</v>
      </c>
      <c r="D215" s="14">
        <f t="shared" si="19"/>
        <v>1326</v>
      </c>
      <c r="E215" s="14">
        <f>COUNTIFS(orders!$C:$C,A215)</f>
        <v>4</v>
      </c>
      <c r="F215" s="16">
        <f>SUMIFS(orders!$M:$M,orders!$C:$C,A215)</f>
        <v>94.504999999999995</v>
      </c>
      <c r="G215" s="14" t="str">
        <f>INDEX(orders!$P:$P,MATCH(A215,orders!$C:$C,0))</f>
        <v>No</v>
      </c>
      <c r="H215" s="17">
        <f t="shared" si="20"/>
        <v>1</v>
      </c>
      <c r="I215" s="14">
        <f t="shared" si="21"/>
        <v>5</v>
      </c>
      <c r="J215">
        <f t="shared" si="22"/>
        <v>5</v>
      </c>
      <c r="K215" s="14">
        <f t="shared" si="23"/>
        <v>11</v>
      </c>
      <c r="L215" t="str">
        <f t="shared" si="24"/>
        <v>At-Risk Repeat Customers</v>
      </c>
    </row>
    <row r="216" spans="1:12" x14ac:dyDescent="0.3">
      <c r="A216" s="12" t="s">
        <v>3488</v>
      </c>
      <c r="B216" s="14" t="str">
        <f>INDEX(orders!$F:$F,MATCH(A216,orders!$C:$C,0))</f>
        <v>Donny Fries</v>
      </c>
      <c r="C216" s="15">
        <f>_xlfn.MAXIFS(orders!$B:$B,orders!$C:$C,A216)</f>
        <v>44663</v>
      </c>
      <c r="D216" s="14">
        <f t="shared" si="19"/>
        <v>130</v>
      </c>
      <c r="E216" s="14">
        <f>COUNTIFS(orders!$C:$C,A216)</f>
        <v>1</v>
      </c>
      <c r="F216" s="16">
        <f>SUMIFS(orders!$M:$M,orders!$C:$C,A216)</f>
        <v>59.699999999999996</v>
      </c>
      <c r="G216" s="14" t="str">
        <f>INDEX(orders!$P:$P,MATCH(A216,orders!$C:$C,0))</f>
        <v>No</v>
      </c>
      <c r="H216" s="17">
        <f t="shared" si="20"/>
        <v>5</v>
      </c>
      <c r="I216" s="14">
        <f t="shared" si="21"/>
        <v>1</v>
      </c>
      <c r="J216">
        <f t="shared" si="22"/>
        <v>4</v>
      </c>
      <c r="K216" s="14">
        <f t="shared" si="23"/>
        <v>10</v>
      </c>
      <c r="L216" t="str">
        <f t="shared" si="24"/>
        <v>Recent High-Value (One-Time)</v>
      </c>
    </row>
    <row r="217" spans="1:12" x14ac:dyDescent="0.3">
      <c r="A217" s="12" t="s">
        <v>3785</v>
      </c>
      <c r="B217" s="14" t="str">
        <f>INDEX(orders!$F:$F,MATCH(A217,orders!$C:$C,0))</f>
        <v>Sidney Gawen</v>
      </c>
      <c r="C217" s="15">
        <f>_xlfn.MAXIFS(orders!$B:$B,orders!$C:$C,A217)</f>
        <v>43538</v>
      </c>
      <c r="D217" s="14">
        <f t="shared" si="19"/>
        <v>1255</v>
      </c>
      <c r="E217" s="14">
        <f>COUNTIFS(orders!$C:$C,A217)</f>
        <v>1</v>
      </c>
      <c r="F217" s="16">
        <f>SUMIFS(orders!$M:$M,orders!$C:$C,A217)</f>
        <v>3.5849999999999995</v>
      </c>
      <c r="G217" s="14" t="str">
        <f>INDEX(orders!$P:$P,MATCH(A217,orders!$C:$C,0))</f>
        <v>Yes</v>
      </c>
      <c r="H217" s="17">
        <f t="shared" si="20"/>
        <v>1</v>
      </c>
      <c r="I217" s="14">
        <f t="shared" si="21"/>
        <v>1</v>
      </c>
      <c r="J217">
        <f t="shared" si="22"/>
        <v>1</v>
      </c>
      <c r="K217" s="14">
        <f t="shared" si="23"/>
        <v>3</v>
      </c>
      <c r="L217" t="str">
        <f t="shared" si="24"/>
        <v>Lapsed One-Time Buyers</v>
      </c>
    </row>
    <row r="218" spans="1:12" x14ac:dyDescent="0.3">
      <c r="A218" s="12" t="s">
        <v>2493</v>
      </c>
      <c r="B218" s="14" t="str">
        <f>INDEX(orders!$F:$F,MATCH(A218,orders!$C:$C,0))</f>
        <v>Marianna Vedmore</v>
      </c>
      <c r="C218" s="15">
        <f>_xlfn.MAXIFS(orders!$B:$B,orders!$C:$C,A218)</f>
        <v>44358</v>
      </c>
      <c r="D218" s="14">
        <f t="shared" si="19"/>
        <v>435</v>
      </c>
      <c r="E218" s="14">
        <f>COUNTIFS(orders!$C:$C,A218)</f>
        <v>1</v>
      </c>
      <c r="F218" s="16">
        <f>SUMIFS(orders!$M:$M,orders!$C:$C,A218)</f>
        <v>114.42499999999998</v>
      </c>
      <c r="G218" s="14" t="str">
        <f>INDEX(orders!$P:$P,MATCH(A218,orders!$C:$C,0))</f>
        <v>Yes</v>
      </c>
      <c r="H218" s="17">
        <f t="shared" si="20"/>
        <v>4</v>
      </c>
      <c r="I218" s="14">
        <f t="shared" si="21"/>
        <v>1</v>
      </c>
      <c r="J218">
        <f t="shared" si="22"/>
        <v>5</v>
      </c>
      <c r="K218" s="14">
        <f t="shared" si="23"/>
        <v>10</v>
      </c>
      <c r="L218" t="str">
        <f t="shared" si="24"/>
        <v>Recent High-Value (One-Time)</v>
      </c>
    </row>
    <row r="219" spans="1:12" x14ac:dyDescent="0.3">
      <c r="A219" s="12" t="s">
        <v>3482</v>
      </c>
      <c r="B219" s="14" t="str">
        <f>INDEX(orders!$F:$F,MATCH(A219,orders!$C:$C,0))</f>
        <v>Starr Arpin</v>
      </c>
      <c r="C219" s="15">
        <f>_xlfn.MAXIFS(orders!$B:$B,orders!$C:$C,A219)</f>
        <v>43475</v>
      </c>
      <c r="D219" s="14">
        <f t="shared" si="19"/>
        <v>1318</v>
      </c>
      <c r="E219" s="14">
        <f>COUNTIFS(orders!$C:$C,A219)</f>
        <v>1</v>
      </c>
      <c r="F219" s="16">
        <f>SUMIFS(orders!$M:$M,orders!$C:$C,A219)</f>
        <v>59.699999999999996</v>
      </c>
      <c r="G219" s="14" t="str">
        <f>INDEX(orders!$P:$P,MATCH(A219,orders!$C:$C,0))</f>
        <v>No</v>
      </c>
      <c r="H219" s="17">
        <f t="shared" si="20"/>
        <v>1</v>
      </c>
      <c r="I219" s="14">
        <f t="shared" si="21"/>
        <v>1</v>
      </c>
      <c r="J219">
        <f t="shared" si="22"/>
        <v>4</v>
      </c>
      <c r="K219" s="14">
        <f t="shared" si="23"/>
        <v>6</v>
      </c>
      <c r="L219" t="str">
        <f t="shared" si="24"/>
        <v>Lapsed One-Time Buyers</v>
      </c>
    </row>
    <row r="220" spans="1:12" x14ac:dyDescent="0.3">
      <c r="A220" s="12" t="s">
        <v>4197</v>
      </c>
      <c r="B220" s="14" t="str">
        <f>INDEX(orders!$F:$F,MATCH(A220,orders!$C:$C,0))</f>
        <v>Sylas Jennaroy</v>
      </c>
      <c r="C220" s="15">
        <f>_xlfn.MAXIFS(orders!$B:$B,orders!$C:$C,A220)</f>
        <v>44485</v>
      </c>
      <c r="D220" s="14">
        <f t="shared" si="19"/>
        <v>308</v>
      </c>
      <c r="E220" s="14">
        <f>COUNTIFS(orders!$C:$C,A220)</f>
        <v>1</v>
      </c>
      <c r="F220" s="16">
        <f>SUMIFS(orders!$M:$M,orders!$C:$C,A220)</f>
        <v>51.8</v>
      </c>
      <c r="G220" s="14" t="str">
        <f>INDEX(orders!$P:$P,MATCH(A220,orders!$C:$C,0))</f>
        <v>No</v>
      </c>
      <c r="H220" s="17">
        <f t="shared" si="20"/>
        <v>4</v>
      </c>
      <c r="I220" s="14">
        <f t="shared" si="21"/>
        <v>1</v>
      </c>
      <c r="J220">
        <f t="shared" si="22"/>
        <v>4</v>
      </c>
      <c r="K220" s="14">
        <f t="shared" si="23"/>
        <v>9</v>
      </c>
      <c r="L220" t="str">
        <f t="shared" si="24"/>
        <v>Recent High-Value (One-Time)</v>
      </c>
    </row>
    <row r="221" spans="1:12" x14ac:dyDescent="0.3">
      <c r="A221" s="12" t="s">
        <v>3071</v>
      </c>
      <c r="B221" s="14" t="str">
        <f>INDEX(orders!$F:$F,MATCH(A221,orders!$C:$C,0))</f>
        <v>Carmelita Thowes</v>
      </c>
      <c r="C221" s="15">
        <f>_xlfn.MAXIFS(orders!$B:$B,orders!$C:$C,A221)</f>
        <v>43671</v>
      </c>
      <c r="D221" s="14">
        <f t="shared" si="19"/>
        <v>1122</v>
      </c>
      <c r="E221" s="14">
        <f>COUNTIFS(orders!$C:$C,A221)</f>
        <v>1</v>
      </c>
      <c r="F221" s="16">
        <f>SUMIFS(orders!$M:$M,orders!$C:$C,A221)</f>
        <v>47.55</v>
      </c>
      <c r="G221" s="14" t="str">
        <f>INDEX(orders!$P:$P,MATCH(A221,orders!$C:$C,0))</f>
        <v>No</v>
      </c>
      <c r="H221" s="17">
        <f t="shared" si="20"/>
        <v>1</v>
      </c>
      <c r="I221" s="14">
        <f t="shared" si="21"/>
        <v>1</v>
      </c>
      <c r="J221">
        <f t="shared" si="22"/>
        <v>4</v>
      </c>
      <c r="K221" s="14">
        <f t="shared" si="23"/>
        <v>6</v>
      </c>
      <c r="L221" t="str">
        <f t="shared" si="24"/>
        <v>Lapsed One-Time Buyers</v>
      </c>
    </row>
    <row r="222" spans="1:12" x14ac:dyDescent="0.3">
      <c r="A222" s="12" t="s">
        <v>3065</v>
      </c>
      <c r="B222" s="14" t="str">
        <f>INDEX(orders!$F:$F,MATCH(A222,orders!$C:$C,0))</f>
        <v>Agnes Adamides</v>
      </c>
      <c r="C222" s="15">
        <f>_xlfn.MAXIFS(orders!$B:$B,orders!$C:$C,A222)</f>
        <v>44017</v>
      </c>
      <c r="D222" s="14">
        <f t="shared" si="19"/>
        <v>776</v>
      </c>
      <c r="E222" s="14">
        <f>COUNTIFS(orders!$C:$C,A222)</f>
        <v>1</v>
      </c>
      <c r="F222" s="16">
        <f>SUMIFS(orders!$M:$M,orders!$C:$C,A222)</f>
        <v>41.169999999999995</v>
      </c>
      <c r="G222" s="14" t="str">
        <f>INDEX(orders!$P:$P,MATCH(A222,orders!$C:$C,0))</f>
        <v>No</v>
      </c>
      <c r="H222" s="17">
        <f t="shared" si="20"/>
        <v>2</v>
      </c>
      <c r="I222" s="14">
        <f t="shared" si="21"/>
        <v>1</v>
      </c>
      <c r="J222">
        <f t="shared" si="22"/>
        <v>3</v>
      </c>
      <c r="K222" s="14">
        <f t="shared" si="23"/>
        <v>6</v>
      </c>
      <c r="L222" t="str">
        <f t="shared" si="24"/>
        <v>Lapsed One-Time Buyers</v>
      </c>
    </row>
    <row r="223" spans="1:12" x14ac:dyDescent="0.3">
      <c r="A223" s="12" t="s">
        <v>1796</v>
      </c>
      <c r="B223" s="14" t="str">
        <f>INDEX(orders!$F:$F,MATCH(A223,orders!$C:$C,0))</f>
        <v>Sinclare Edsell</v>
      </c>
      <c r="C223" s="15">
        <f>_xlfn.MAXIFS(orders!$B:$B,orders!$C:$C,A223)</f>
        <v>43628</v>
      </c>
      <c r="D223" s="14">
        <f t="shared" si="19"/>
        <v>1165</v>
      </c>
      <c r="E223" s="14">
        <f>COUNTIFS(orders!$C:$C,A223)</f>
        <v>1</v>
      </c>
      <c r="F223" s="16">
        <f>SUMIFS(orders!$M:$M,orders!$C:$C,A223)</f>
        <v>8.73</v>
      </c>
      <c r="G223" s="14" t="str">
        <f>INDEX(orders!$P:$P,MATCH(A223,orders!$C:$C,0))</f>
        <v>Yes</v>
      </c>
      <c r="H223" s="17">
        <f t="shared" si="20"/>
        <v>1</v>
      </c>
      <c r="I223" s="14">
        <f t="shared" si="21"/>
        <v>1</v>
      </c>
      <c r="J223">
        <f t="shared" si="22"/>
        <v>1</v>
      </c>
      <c r="K223" s="14">
        <f t="shared" si="23"/>
        <v>3</v>
      </c>
      <c r="L223" t="str">
        <f t="shared" si="24"/>
        <v>Lapsed One-Time Buyers</v>
      </c>
    </row>
    <row r="224" spans="1:12" x14ac:dyDescent="0.3">
      <c r="A224" s="12" t="s">
        <v>1345</v>
      </c>
      <c r="B224" s="14" t="str">
        <f>INDEX(orders!$F:$F,MATCH(A224,orders!$C:$C,0))</f>
        <v>Bettina Leffek</v>
      </c>
      <c r="C224" s="15">
        <f>_xlfn.MAXIFS(orders!$B:$B,orders!$C:$C,A224)</f>
        <v>44510</v>
      </c>
      <c r="D224" s="14">
        <f t="shared" si="19"/>
        <v>283</v>
      </c>
      <c r="E224" s="14">
        <f>COUNTIFS(orders!$C:$C,A224)</f>
        <v>1</v>
      </c>
      <c r="F224" s="16">
        <f>SUMIFS(orders!$M:$M,orders!$C:$C,A224)</f>
        <v>68.655000000000001</v>
      </c>
      <c r="G224" s="14" t="str">
        <f>INDEX(orders!$P:$P,MATCH(A224,orders!$C:$C,0))</f>
        <v>Yes</v>
      </c>
      <c r="H224" s="17">
        <f t="shared" si="20"/>
        <v>4</v>
      </c>
      <c r="I224" s="14">
        <f t="shared" si="21"/>
        <v>1</v>
      </c>
      <c r="J224">
        <f t="shared" si="22"/>
        <v>4</v>
      </c>
      <c r="K224" s="14">
        <f t="shared" si="23"/>
        <v>9</v>
      </c>
      <c r="L224" t="str">
        <f t="shared" si="24"/>
        <v>Recent High-Value (One-Time)</v>
      </c>
    </row>
    <row r="225" spans="1:12" x14ac:dyDescent="0.3">
      <c r="A225" s="12" t="s">
        <v>513</v>
      </c>
      <c r="B225" s="14" t="str">
        <f>INDEX(orders!$F:$F,MATCH(A225,orders!$C:$C,0))</f>
        <v>Christoffer O' Shea</v>
      </c>
      <c r="C225" s="15">
        <f>_xlfn.MAXIFS(orders!$B:$B,orders!$C:$C,A225)</f>
        <v>44392</v>
      </c>
      <c r="D225" s="14">
        <f t="shared" si="19"/>
        <v>401</v>
      </c>
      <c r="E225" s="14">
        <f>COUNTIFS(orders!$C:$C,A225)</f>
        <v>2</v>
      </c>
      <c r="F225" s="16">
        <f>SUMIFS(orders!$M:$M,orders!$C:$C,A225)</f>
        <v>82.47</v>
      </c>
      <c r="G225" s="14" t="str">
        <f>INDEX(orders!$P:$P,MATCH(A225,orders!$C:$C,0))</f>
        <v>No</v>
      </c>
      <c r="H225" s="17">
        <f t="shared" si="20"/>
        <v>4</v>
      </c>
      <c r="I225" s="14">
        <f t="shared" si="21"/>
        <v>3</v>
      </c>
      <c r="J225">
        <f t="shared" si="22"/>
        <v>5</v>
      </c>
      <c r="K225" s="14">
        <f t="shared" si="23"/>
        <v>12</v>
      </c>
      <c r="L225" t="str">
        <f t="shared" si="24"/>
        <v>Loyal Repeat Customers</v>
      </c>
    </row>
    <row r="226" spans="1:12" x14ac:dyDescent="0.3">
      <c r="A226" s="12" t="s">
        <v>5200</v>
      </c>
      <c r="B226" s="14" t="str">
        <f>INDEX(orders!$F:$F,MATCH(A226,orders!$C:$C,0))</f>
        <v>Lenette Dwerryhouse</v>
      </c>
      <c r="C226" s="15">
        <f>_xlfn.MAXIFS(orders!$B:$B,orders!$C:$C,A226)</f>
        <v>44302</v>
      </c>
      <c r="D226" s="14">
        <f t="shared" si="19"/>
        <v>491</v>
      </c>
      <c r="E226" s="14">
        <f>COUNTIFS(orders!$C:$C,A226)</f>
        <v>1</v>
      </c>
      <c r="F226" s="16">
        <f>SUMIFS(orders!$M:$M,orders!$C:$C,A226)</f>
        <v>82.339999999999989</v>
      </c>
      <c r="G226" s="14" t="str">
        <f>INDEX(orders!$P:$P,MATCH(A226,orders!$C:$C,0))</f>
        <v>Yes</v>
      </c>
      <c r="H226" s="17">
        <f t="shared" si="20"/>
        <v>4</v>
      </c>
      <c r="I226" s="14">
        <f t="shared" si="21"/>
        <v>1</v>
      </c>
      <c r="J226">
        <f t="shared" si="22"/>
        <v>5</v>
      </c>
      <c r="K226" s="14">
        <f t="shared" si="23"/>
        <v>10</v>
      </c>
      <c r="L226" t="str">
        <f t="shared" si="24"/>
        <v>Recent High-Value (One-Time)</v>
      </c>
    </row>
    <row r="227" spans="1:12" x14ac:dyDescent="0.3">
      <c r="A227" s="12" t="s">
        <v>627</v>
      </c>
      <c r="B227" s="14" t="str">
        <f>INDEX(orders!$F:$F,MATCH(A227,orders!$C:$C,0))</f>
        <v>Chrisy Blofeld</v>
      </c>
      <c r="C227" s="15">
        <f>_xlfn.MAXIFS(orders!$B:$B,orders!$C:$C,A227)</f>
        <v>44454</v>
      </c>
      <c r="D227" s="14">
        <f t="shared" si="19"/>
        <v>339</v>
      </c>
      <c r="E227" s="14">
        <f>COUNTIFS(orders!$C:$C,A227)</f>
        <v>1</v>
      </c>
      <c r="F227" s="16">
        <f>SUMIFS(orders!$M:$M,orders!$C:$C,A227)</f>
        <v>11.25</v>
      </c>
      <c r="G227" s="14" t="str">
        <f>INDEX(orders!$P:$P,MATCH(A227,orders!$C:$C,0))</f>
        <v>No</v>
      </c>
      <c r="H227" s="17">
        <f t="shared" si="20"/>
        <v>4</v>
      </c>
      <c r="I227" s="14">
        <f t="shared" si="21"/>
        <v>1</v>
      </c>
      <c r="J227">
        <f t="shared" si="22"/>
        <v>1</v>
      </c>
      <c r="K227" s="14">
        <f t="shared" si="23"/>
        <v>6</v>
      </c>
      <c r="L227" t="str">
        <f t="shared" si="24"/>
        <v>Standard One-Time Buyers</v>
      </c>
    </row>
    <row r="228" spans="1:12" x14ac:dyDescent="0.3">
      <c r="A228" s="12" t="s">
        <v>3934</v>
      </c>
      <c r="B228" s="14" t="str">
        <f>INDEX(orders!$F:$F,MATCH(A228,orders!$C:$C,0))</f>
        <v>Angelia Cleyburn</v>
      </c>
      <c r="C228" s="15">
        <f>_xlfn.MAXIFS(orders!$B:$B,orders!$C:$C,A228)</f>
        <v>43743</v>
      </c>
      <c r="D228" s="14">
        <f t="shared" si="19"/>
        <v>1050</v>
      </c>
      <c r="E228" s="14">
        <f>COUNTIFS(orders!$C:$C,A228)</f>
        <v>1</v>
      </c>
      <c r="F228" s="16">
        <f>SUMIFS(orders!$M:$M,orders!$C:$C,A228)</f>
        <v>39.799999999999997</v>
      </c>
      <c r="G228" s="14" t="str">
        <f>INDEX(orders!$P:$P,MATCH(A228,orders!$C:$C,0))</f>
        <v>No</v>
      </c>
      <c r="H228" s="17">
        <f t="shared" si="20"/>
        <v>1</v>
      </c>
      <c r="I228" s="14">
        <f t="shared" si="21"/>
        <v>1</v>
      </c>
      <c r="J228">
        <f t="shared" si="22"/>
        <v>3</v>
      </c>
      <c r="K228" s="14">
        <f t="shared" si="23"/>
        <v>5</v>
      </c>
      <c r="L228" t="str">
        <f t="shared" si="24"/>
        <v>Lapsed One-Time Buyers</v>
      </c>
    </row>
    <row r="229" spans="1:12" x14ac:dyDescent="0.3">
      <c r="A229" s="12" t="s">
        <v>5927</v>
      </c>
      <c r="B229" s="14" t="str">
        <f>INDEX(orders!$F:$F,MATCH(A229,orders!$C:$C,0))</f>
        <v>Morly Rocks</v>
      </c>
      <c r="C229" s="15">
        <f>_xlfn.MAXIFS(orders!$B:$B,orders!$C:$C,A229)</f>
        <v>44664</v>
      </c>
      <c r="D229" s="14">
        <f t="shared" si="19"/>
        <v>129</v>
      </c>
      <c r="E229" s="14">
        <f>COUNTIFS(orders!$C:$C,A229)</f>
        <v>1</v>
      </c>
      <c r="F229" s="16">
        <f>SUMIFS(orders!$M:$M,orders!$C:$C,A229)</f>
        <v>8.9499999999999993</v>
      </c>
      <c r="G229" s="14" t="str">
        <f>INDEX(orders!$P:$P,MATCH(A229,orders!$C:$C,0))</f>
        <v>Yes</v>
      </c>
      <c r="H229" s="17">
        <f t="shared" si="20"/>
        <v>5</v>
      </c>
      <c r="I229" s="14">
        <f t="shared" si="21"/>
        <v>1</v>
      </c>
      <c r="J229">
        <f t="shared" si="22"/>
        <v>1</v>
      </c>
      <c r="K229" s="14">
        <f t="shared" si="23"/>
        <v>7</v>
      </c>
      <c r="L229" t="str">
        <f t="shared" si="24"/>
        <v>Standard One-Time Buyers</v>
      </c>
    </row>
    <row r="230" spans="1:12" x14ac:dyDescent="0.3">
      <c r="A230" s="12" t="s">
        <v>4706</v>
      </c>
      <c r="B230" s="14" t="str">
        <f>INDEX(orders!$F:$F,MATCH(A230,orders!$C:$C,0))</f>
        <v>Hussein Olliff</v>
      </c>
      <c r="C230" s="15">
        <f>_xlfn.MAXIFS(orders!$B:$B,orders!$C:$C,A230)</f>
        <v>43741</v>
      </c>
      <c r="D230" s="14">
        <f t="shared" si="19"/>
        <v>1052</v>
      </c>
      <c r="E230" s="14">
        <f>COUNTIFS(orders!$C:$C,A230)</f>
        <v>1</v>
      </c>
      <c r="F230" s="16">
        <f>SUMIFS(orders!$M:$M,orders!$C:$C,A230)</f>
        <v>33.75</v>
      </c>
      <c r="G230" s="14" t="str">
        <f>INDEX(orders!$P:$P,MATCH(A230,orders!$C:$C,0))</f>
        <v>No</v>
      </c>
      <c r="H230" s="17">
        <f t="shared" si="20"/>
        <v>1</v>
      </c>
      <c r="I230" s="14">
        <f t="shared" si="21"/>
        <v>1</v>
      </c>
      <c r="J230">
        <f t="shared" si="22"/>
        <v>3</v>
      </c>
      <c r="K230" s="14">
        <f t="shared" si="23"/>
        <v>5</v>
      </c>
      <c r="L230" t="str">
        <f t="shared" si="24"/>
        <v>Lapsed One-Time Buyers</v>
      </c>
    </row>
    <row r="231" spans="1:12" x14ac:dyDescent="0.3">
      <c r="A231" s="12" t="s">
        <v>3165</v>
      </c>
      <c r="B231" s="14" t="str">
        <f>INDEX(orders!$F:$F,MATCH(A231,orders!$C:$C,0))</f>
        <v>Heloise Zeal</v>
      </c>
      <c r="C231" s="15">
        <f>_xlfn.MAXIFS(orders!$B:$B,orders!$C:$C,A231)</f>
        <v>44603</v>
      </c>
      <c r="D231" s="14">
        <f t="shared" si="19"/>
        <v>190</v>
      </c>
      <c r="E231" s="14">
        <f>COUNTIFS(orders!$C:$C,A231)</f>
        <v>1</v>
      </c>
      <c r="F231" s="16">
        <f>SUMIFS(orders!$M:$M,orders!$C:$C,A231)</f>
        <v>25.9</v>
      </c>
      <c r="G231" s="14" t="str">
        <f>INDEX(orders!$P:$P,MATCH(A231,orders!$C:$C,0))</f>
        <v>No</v>
      </c>
      <c r="H231" s="17">
        <f t="shared" si="20"/>
        <v>5</v>
      </c>
      <c r="I231" s="14">
        <f t="shared" si="21"/>
        <v>1</v>
      </c>
      <c r="J231">
        <f t="shared" si="22"/>
        <v>3</v>
      </c>
      <c r="K231" s="14">
        <f t="shared" si="23"/>
        <v>9</v>
      </c>
      <c r="L231" t="str">
        <f t="shared" si="24"/>
        <v>Standard One-Time Buyers</v>
      </c>
    </row>
    <row r="232" spans="1:12" x14ac:dyDescent="0.3">
      <c r="A232" s="12" t="s">
        <v>4158</v>
      </c>
      <c r="B232" s="14" t="str">
        <f>INDEX(orders!$F:$F,MATCH(A232,orders!$C:$C,0))</f>
        <v>Charmane Denys</v>
      </c>
      <c r="C232" s="15">
        <f>_xlfn.MAXIFS(orders!$B:$B,orders!$C:$C,A232)</f>
        <v>44015</v>
      </c>
      <c r="D232" s="14">
        <f t="shared" si="19"/>
        <v>778</v>
      </c>
      <c r="E232" s="14">
        <f>COUNTIFS(orders!$C:$C,A232)</f>
        <v>1</v>
      </c>
      <c r="F232" s="16">
        <f>SUMIFS(orders!$M:$M,orders!$C:$C,A232)</f>
        <v>95.1</v>
      </c>
      <c r="G232" s="14" t="str">
        <f>INDEX(orders!$P:$P,MATCH(A232,orders!$C:$C,0))</f>
        <v>No</v>
      </c>
      <c r="H232" s="17">
        <f t="shared" si="20"/>
        <v>2</v>
      </c>
      <c r="I232" s="14">
        <f t="shared" si="21"/>
        <v>1</v>
      </c>
      <c r="J232">
        <f t="shared" si="22"/>
        <v>5</v>
      </c>
      <c r="K232" s="14">
        <f t="shared" si="23"/>
        <v>8</v>
      </c>
      <c r="L232" t="str">
        <f t="shared" si="24"/>
        <v>Lapsed One-Time Buyers</v>
      </c>
    </row>
    <row r="233" spans="1:12" x14ac:dyDescent="0.3">
      <c r="A233" s="12" t="s">
        <v>1644</v>
      </c>
      <c r="B233" s="14" t="str">
        <f>INDEX(orders!$F:$F,MATCH(A233,orders!$C:$C,0))</f>
        <v>Kendra Glison</v>
      </c>
      <c r="C233" s="15">
        <f>_xlfn.MAXIFS(orders!$B:$B,orders!$C:$C,A233)</f>
        <v>43883</v>
      </c>
      <c r="D233" s="14">
        <f t="shared" si="19"/>
        <v>910</v>
      </c>
      <c r="E233" s="14">
        <f>COUNTIFS(orders!$C:$C,A233)</f>
        <v>1</v>
      </c>
      <c r="F233" s="16">
        <f>SUMIFS(orders!$M:$M,orders!$C:$C,A233)</f>
        <v>8.0549999999999997</v>
      </c>
      <c r="G233" s="14" t="str">
        <f>INDEX(orders!$P:$P,MATCH(A233,orders!$C:$C,0))</f>
        <v>Yes</v>
      </c>
      <c r="H233" s="17">
        <f t="shared" si="20"/>
        <v>2</v>
      </c>
      <c r="I233" s="14">
        <f t="shared" si="21"/>
        <v>1</v>
      </c>
      <c r="J233">
        <f t="shared" si="22"/>
        <v>1</v>
      </c>
      <c r="K233" s="14">
        <f t="shared" si="23"/>
        <v>4</v>
      </c>
      <c r="L233" t="str">
        <f t="shared" si="24"/>
        <v>Lapsed One-Time Buyers</v>
      </c>
    </row>
    <row r="234" spans="1:12" x14ac:dyDescent="0.3">
      <c r="A234" s="12" t="s">
        <v>688</v>
      </c>
      <c r="B234" s="14" t="str">
        <f>INDEX(orders!$F:$F,MATCH(A234,orders!$C:$C,0))</f>
        <v>Faber Eilhart</v>
      </c>
      <c r="C234" s="15">
        <f>_xlfn.MAXIFS(orders!$B:$B,orders!$C:$C,A234)</f>
        <v>44348</v>
      </c>
      <c r="D234" s="14">
        <f t="shared" si="19"/>
        <v>445</v>
      </c>
      <c r="E234" s="14">
        <f>COUNTIFS(orders!$C:$C,A234)</f>
        <v>1</v>
      </c>
      <c r="F234" s="16">
        <f>SUMIFS(orders!$M:$M,orders!$C:$C,A234)</f>
        <v>35.82</v>
      </c>
      <c r="G234" s="14" t="str">
        <f>INDEX(orders!$P:$P,MATCH(A234,orders!$C:$C,0))</f>
        <v>No</v>
      </c>
      <c r="H234" s="17">
        <f t="shared" si="20"/>
        <v>4</v>
      </c>
      <c r="I234" s="14">
        <f t="shared" si="21"/>
        <v>1</v>
      </c>
      <c r="J234">
        <f t="shared" si="22"/>
        <v>3</v>
      </c>
      <c r="K234" s="14">
        <f t="shared" si="23"/>
        <v>8</v>
      </c>
      <c r="L234" t="str">
        <f t="shared" si="24"/>
        <v>Standard One-Time Buyers</v>
      </c>
    </row>
    <row r="235" spans="1:12" x14ac:dyDescent="0.3">
      <c r="A235" s="12" t="s">
        <v>3634</v>
      </c>
      <c r="B235" s="14" t="str">
        <f>INDEX(orders!$F:$F,MATCH(A235,orders!$C:$C,0))</f>
        <v>Cissiee Raisbeck</v>
      </c>
      <c r="C235" s="15">
        <f>_xlfn.MAXIFS(orders!$B:$B,orders!$C:$C,A235)</f>
        <v>44523</v>
      </c>
      <c r="D235" s="14">
        <f t="shared" si="19"/>
        <v>270</v>
      </c>
      <c r="E235" s="14">
        <f>COUNTIFS(orders!$C:$C,A235)</f>
        <v>1</v>
      </c>
      <c r="F235" s="16">
        <f>SUMIFS(orders!$M:$M,orders!$C:$C,A235)</f>
        <v>8.73</v>
      </c>
      <c r="G235" s="14" t="str">
        <f>INDEX(orders!$P:$P,MATCH(A235,orders!$C:$C,0))</f>
        <v>Yes</v>
      </c>
      <c r="H235" s="17">
        <f t="shared" si="20"/>
        <v>4</v>
      </c>
      <c r="I235" s="14">
        <f t="shared" si="21"/>
        <v>1</v>
      </c>
      <c r="J235">
        <f t="shared" si="22"/>
        <v>1</v>
      </c>
      <c r="K235" s="14">
        <f t="shared" si="23"/>
        <v>6</v>
      </c>
      <c r="L235" t="str">
        <f t="shared" si="24"/>
        <v>Standard One-Time Buyers</v>
      </c>
    </row>
    <row r="236" spans="1:12" x14ac:dyDescent="0.3">
      <c r="A236" s="12" t="s">
        <v>4603</v>
      </c>
      <c r="B236" s="14" t="str">
        <f>INDEX(orders!$F:$F,MATCH(A236,orders!$C:$C,0))</f>
        <v>Rochette Huscroft</v>
      </c>
      <c r="C236" s="15">
        <f>_xlfn.MAXIFS(orders!$B:$B,orders!$C:$C,A236)</f>
        <v>44155</v>
      </c>
      <c r="D236" s="14">
        <f t="shared" si="19"/>
        <v>638</v>
      </c>
      <c r="E236" s="14">
        <f>COUNTIFS(orders!$C:$C,A236)</f>
        <v>1</v>
      </c>
      <c r="F236" s="16">
        <f>SUMIFS(orders!$M:$M,orders!$C:$C,A236)</f>
        <v>21.87</v>
      </c>
      <c r="G236" s="14" t="str">
        <f>INDEX(orders!$P:$P,MATCH(A236,orders!$C:$C,0))</f>
        <v>Yes</v>
      </c>
      <c r="H236" s="17">
        <f t="shared" si="20"/>
        <v>3</v>
      </c>
      <c r="I236" s="14">
        <f t="shared" si="21"/>
        <v>1</v>
      </c>
      <c r="J236">
        <f t="shared" si="22"/>
        <v>2</v>
      </c>
      <c r="K236" s="14">
        <f t="shared" si="23"/>
        <v>6</v>
      </c>
      <c r="L236" t="str">
        <f t="shared" si="24"/>
        <v>Standard One-Time Buyers</v>
      </c>
    </row>
    <row r="237" spans="1:12" x14ac:dyDescent="0.3">
      <c r="A237" s="12" t="s">
        <v>4759</v>
      </c>
      <c r="B237" s="14" t="str">
        <f>INDEX(orders!$F:$F,MATCH(A237,orders!$C:$C,0))</f>
        <v>Foster Constance</v>
      </c>
      <c r="C237" s="15">
        <f>_xlfn.MAXIFS(orders!$B:$B,orders!$C:$C,A237)</f>
        <v>44562</v>
      </c>
      <c r="D237" s="14">
        <f t="shared" si="19"/>
        <v>231</v>
      </c>
      <c r="E237" s="14">
        <f>COUNTIFS(orders!$C:$C,A237)</f>
        <v>3</v>
      </c>
      <c r="F237" s="16">
        <f>SUMIFS(orders!$M:$M,orders!$C:$C,A237)</f>
        <v>141.785</v>
      </c>
      <c r="G237" s="14" t="str">
        <f>INDEX(orders!$P:$P,MATCH(A237,orders!$C:$C,0))</f>
        <v>No</v>
      </c>
      <c r="H237" s="17">
        <f t="shared" si="20"/>
        <v>5</v>
      </c>
      <c r="I237" s="14">
        <f t="shared" si="21"/>
        <v>5</v>
      </c>
      <c r="J237">
        <f t="shared" si="22"/>
        <v>5</v>
      </c>
      <c r="K237" s="14">
        <f t="shared" si="23"/>
        <v>15</v>
      </c>
      <c r="L237" t="str">
        <f t="shared" si="24"/>
        <v>Loyal Repeat Customers</v>
      </c>
    </row>
    <row r="238" spans="1:12" x14ac:dyDescent="0.3">
      <c r="A238" s="12" t="s">
        <v>4689</v>
      </c>
      <c r="B238" s="14" t="str">
        <f>INDEX(orders!$F:$F,MATCH(A238,orders!$C:$C,0))</f>
        <v>Tersina Castagne</v>
      </c>
      <c r="C238" s="15">
        <f>_xlfn.MAXIFS(orders!$B:$B,orders!$C:$C,A238)</f>
        <v>44042</v>
      </c>
      <c r="D238" s="14">
        <f t="shared" si="19"/>
        <v>751</v>
      </c>
      <c r="E238" s="14">
        <f>COUNTIFS(orders!$C:$C,A238)</f>
        <v>1</v>
      </c>
      <c r="F238" s="16">
        <f>SUMIFS(orders!$M:$M,orders!$C:$C,A238)</f>
        <v>17.91</v>
      </c>
      <c r="G238" s="14" t="str">
        <f>INDEX(orders!$P:$P,MATCH(A238,orders!$C:$C,0))</f>
        <v>No</v>
      </c>
      <c r="H238" s="17">
        <f t="shared" si="20"/>
        <v>3</v>
      </c>
      <c r="I238" s="14">
        <f t="shared" si="21"/>
        <v>1</v>
      </c>
      <c r="J238">
        <f t="shared" si="22"/>
        <v>2</v>
      </c>
      <c r="K238" s="14">
        <f t="shared" si="23"/>
        <v>6</v>
      </c>
      <c r="L238" t="str">
        <f t="shared" si="24"/>
        <v>Standard One-Time Buyers</v>
      </c>
    </row>
    <row r="239" spans="1:12" x14ac:dyDescent="0.3">
      <c r="A239" s="12" t="s">
        <v>4269</v>
      </c>
      <c r="B239" s="14" t="str">
        <f>INDEX(orders!$F:$F,MATCH(A239,orders!$C:$C,0))</f>
        <v>Ferdie Tourry</v>
      </c>
      <c r="C239" s="15">
        <f>_xlfn.MAXIFS(orders!$B:$B,orders!$C:$C,A239)</f>
        <v>44551</v>
      </c>
      <c r="D239" s="14">
        <f t="shared" si="19"/>
        <v>242</v>
      </c>
      <c r="E239" s="14">
        <f>COUNTIFS(orders!$C:$C,A239)</f>
        <v>1</v>
      </c>
      <c r="F239" s="16">
        <f>SUMIFS(orders!$M:$M,orders!$C:$C,A239)</f>
        <v>66.929999999999993</v>
      </c>
      <c r="G239" s="14" t="str">
        <f>INDEX(orders!$P:$P,MATCH(A239,orders!$C:$C,0))</f>
        <v>No</v>
      </c>
      <c r="H239" s="17">
        <f t="shared" si="20"/>
        <v>5</v>
      </c>
      <c r="I239" s="14">
        <f t="shared" si="21"/>
        <v>1</v>
      </c>
      <c r="J239">
        <f t="shared" si="22"/>
        <v>4</v>
      </c>
      <c r="K239" s="14">
        <f t="shared" si="23"/>
        <v>10</v>
      </c>
      <c r="L239" t="str">
        <f t="shared" si="24"/>
        <v>Recent High-Value (One-Time)</v>
      </c>
    </row>
    <row r="240" spans="1:12" x14ac:dyDescent="0.3">
      <c r="A240" s="12" t="s">
        <v>577</v>
      </c>
      <c r="B240" s="14" t="str">
        <f>INDEX(orders!$F:$F,MATCH(A240,orders!$C:$C,0))</f>
        <v>Llywellyn Oscroft</v>
      </c>
      <c r="C240" s="15">
        <f>_xlfn.MAXIFS(orders!$B:$B,orders!$C:$C,A240)</f>
        <v>44719</v>
      </c>
      <c r="D240" s="14">
        <f t="shared" si="19"/>
        <v>74</v>
      </c>
      <c r="E240" s="14">
        <f>COUNTIFS(orders!$C:$C,A240)</f>
        <v>1</v>
      </c>
      <c r="F240" s="16">
        <f>SUMIFS(orders!$M:$M,orders!$C:$C,A240)</f>
        <v>114.42499999999998</v>
      </c>
      <c r="G240" s="14" t="str">
        <f>INDEX(orders!$P:$P,MATCH(A240,orders!$C:$C,0))</f>
        <v>No</v>
      </c>
      <c r="H240" s="17">
        <f t="shared" si="20"/>
        <v>5</v>
      </c>
      <c r="I240" s="14">
        <f t="shared" si="21"/>
        <v>1</v>
      </c>
      <c r="J240">
        <f t="shared" si="22"/>
        <v>5</v>
      </c>
      <c r="K240" s="14">
        <f t="shared" si="23"/>
        <v>11</v>
      </c>
      <c r="L240" t="str">
        <f t="shared" si="24"/>
        <v>Recent High-Value (One-Time)</v>
      </c>
    </row>
    <row r="241" spans="1:12" x14ac:dyDescent="0.3">
      <c r="A241" s="12" t="s">
        <v>4440</v>
      </c>
      <c r="B241" s="14" t="str">
        <f>INDEX(orders!$F:$F,MATCH(A241,orders!$C:$C,0))</f>
        <v>Orland Tadman</v>
      </c>
      <c r="C241" s="15">
        <f>_xlfn.MAXIFS(orders!$B:$B,orders!$C:$C,A241)</f>
        <v>44298</v>
      </c>
      <c r="D241" s="14">
        <f t="shared" si="19"/>
        <v>495</v>
      </c>
      <c r="E241" s="14">
        <f>COUNTIFS(orders!$C:$C,A241)</f>
        <v>1</v>
      </c>
      <c r="F241" s="16">
        <f>SUMIFS(orders!$M:$M,orders!$C:$C,A241)</f>
        <v>23.88</v>
      </c>
      <c r="G241" s="14" t="str">
        <f>INDEX(orders!$P:$P,MATCH(A241,orders!$C:$C,0))</f>
        <v>Yes</v>
      </c>
      <c r="H241" s="17">
        <f t="shared" si="20"/>
        <v>4</v>
      </c>
      <c r="I241" s="14">
        <f t="shared" si="21"/>
        <v>1</v>
      </c>
      <c r="J241">
        <f t="shared" si="22"/>
        <v>2</v>
      </c>
      <c r="K241" s="14">
        <f t="shared" si="23"/>
        <v>7</v>
      </c>
      <c r="L241" t="str">
        <f t="shared" si="24"/>
        <v>Standard One-Time Buyers</v>
      </c>
    </row>
    <row r="242" spans="1:12" x14ac:dyDescent="0.3">
      <c r="A242" s="12" t="s">
        <v>2010</v>
      </c>
      <c r="B242" s="14" t="str">
        <f>INDEX(orders!$F:$F,MATCH(A242,orders!$C:$C,0))</f>
        <v>Monica Fearon</v>
      </c>
      <c r="C242" s="15">
        <f>_xlfn.MAXIFS(orders!$B:$B,orders!$C:$C,A242)</f>
        <v>44333</v>
      </c>
      <c r="D242" s="14">
        <f t="shared" si="19"/>
        <v>460</v>
      </c>
      <c r="E242" s="14">
        <f>COUNTIFS(orders!$C:$C,A242)</f>
        <v>1</v>
      </c>
      <c r="F242" s="16">
        <f>SUMIFS(orders!$M:$M,orders!$C:$C,A242)</f>
        <v>5.97</v>
      </c>
      <c r="G242" s="14" t="str">
        <f>INDEX(orders!$P:$P,MATCH(A242,orders!$C:$C,0))</f>
        <v>No</v>
      </c>
      <c r="H242" s="17">
        <f t="shared" si="20"/>
        <v>4</v>
      </c>
      <c r="I242" s="14">
        <f t="shared" si="21"/>
        <v>1</v>
      </c>
      <c r="J242">
        <f t="shared" si="22"/>
        <v>1</v>
      </c>
      <c r="K242" s="14">
        <f t="shared" si="23"/>
        <v>6</v>
      </c>
      <c r="L242" t="str">
        <f t="shared" si="24"/>
        <v>Standard One-Time Buyers</v>
      </c>
    </row>
    <row r="243" spans="1:12" x14ac:dyDescent="0.3">
      <c r="A243" s="12" t="s">
        <v>5316</v>
      </c>
      <c r="B243" s="14" t="str">
        <f>INDEX(orders!$F:$F,MATCH(A243,orders!$C:$C,0))</f>
        <v>Skipton Morrall</v>
      </c>
      <c r="C243" s="15">
        <f>_xlfn.MAXIFS(orders!$B:$B,orders!$C:$C,A243)</f>
        <v>44516</v>
      </c>
      <c r="D243" s="14">
        <f t="shared" si="19"/>
        <v>277</v>
      </c>
      <c r="E243" s="14">
        <f>COUNTIFS(orders!$C:$C,A243)</f>
        <v>1</v>
      </c>
      <c r="F243" s="16">
        <f>SUMIFS(orders!$M:$M,orders!$C:$C,A243)</f>
        <v>35.849999999999994</v>
      </c>
      <c r="G243" s="14" t="str">
        <f>INDEX(orders!$P:$P,MATCH(A243,orders!$C:$C,0))</f>
        <v>Yes</v>
      </c>
      <c r="H243" s="17">
        <f t="shared" si="20"/>
        <v>4</v>
      </c>
      <c r="I243" s="14">
        <f t="shared" si="21"/>
        <v>1</v>
      </c>
      <c r="J243">
        <f t="shared" si="22"/>
        <v>3</v>
      </c>
      <c r="K243" s="14">
        <f t="shared" si="23"/>
        <v>8</v>
      </c>
      <c r="L243" t="str">
        <f t="shared" si="24"/>
        <v>Standard One-Time Buyers</v>
      </c>
    </row>
    <row r="244" spans="1:12" x14ac:dyDescent="0.3">
      <c r="A244" s="12" t="s">
        <v>3350</v>
      </c>
      <c r="B244" s="14" t="str">
        <f>INDEX(orders!$F:$F,MATCH(A244,orders!$C:$C,0))</f>
        <v>Diane-marie Wincer</v>
      </c>
      <c r="C244" s="15">
        <f>_xlfn.MAXIFS(orders!$B:$B,orders!$C:$C,A244)</f>
        <v>44184</v>
      </c>
      <c r="D244" s="14">
        <f t="shared" si="19"/>
        <v>609</v>
      </c>
      <c r="E244" s="14">
        <f>COUNTIFS(orders!$C:$C,A244)</f>
        <v>1</v>
      </c>
      <c r="F244" s="16">
        <f>SUMIFS(orders!$M:$M,orders!$C:$C,A244)</f>
        <v>25.9</v>
      </c>
      <c r="G244" s="14" t="str">
        <f>INDEX(orders!$P:$P,MATCH(A244,orders!$C:$C,0))</f>
        <v>Yes</v>
      </c>
      <c r="H244" s="17">
        <f t="shared" si="20"/>
        <v>3</v>
      </c>
      <c r="I244" s="14">
        <f t="shared" si="21"/>
        <v>1</v>
      </c>
      <c r="J244">
        <f t="shared" si="22"/>
        <v>3</v>
      </c>
      <c r="K244" s="14">
        <f t="shared" si="23"/>
        <v>7</v>
      </c>
      <c r="L244" t="str">
        <f t="shared" si="24"/>
        <v>Standard One-Time Buyers</v>
      </c>
    </row>
    <row r="245" spans="1:12" x14ac:dyDescent="0.3">
      <c r="A245" s="12" t="s">
        <v>812</v>
      </c>
      <c r="B245" s="14" t="str">
        <f>INDEX(orders!$F:$F,MATCH(A245,orders!$C:$C,0))</f>
        <v>Rozele Relton</v>
      </c>
      <c r="C245" s="15">
        <f>_xlfn.MAXIFS(orders!$B:$B,orders!$C:$C,A245)</f>
        <v>44759</v>
      </c>
      <c r="D245" s="14">
        <f t="shared" si="19"/>
        <v>34</v>
      </c>
      <c r="E245" s="14">
        <f>COUNTIFS(orders!$C:$C,A245)</f>
        <v>1</v>
      </c>
      <c r="F245" s="16">
        <f>SUMIFS(orders!$M:$M,orders!$C:$C,A245)</f>
        <v>59.4</v>
      </c>
      <c r="G245" s="14" t="str">
        <f>INDEX(orders!$P:$P,MATCH(A245,orders!$C:$C,0))</f>
        <v>No</v>
      </c>
      <c r="H245" s="17">
        <f t="shared" si="20"/>
        <v>5</v>
      </c>
      <c r="I245" s="14">
        <f t="shared" si="21"/>
        <v>1</v>
      </c>
      <c r="J245">
        <f t="shared" si="22"/>
        <v>4</v>
      </c>
      <c r="K245" s="14">
        <f t="shared" si="23"/>
        <v>10</v>
      </c>
      <c r="L245" t="str">
        <f t="shared" si="24"/>
        <v>Recent High-Value (One-Time)</v>
      </c>
    </row>
    <row r="246" spans="1:12" x14ac:dyDescent="0.3">
      <c r="A246" s="12" t="s">
        <v>1976</v>
      </c>
      <c r="B246" s="14" t="str">
        <f>INDEX(orders!$F:$F,MATCH(A246,orders!$C:$C,0))</f>
        <v>Mar McIver</v>
      </c>
      <c r="C246" s="15">
        <f>_xlfn.MAXIFS(orders!$B:$B,orders!$C:$C,A246)</f>
        <v>43577</v>
      </c>
      <c r="D246" s="14">
        <f t="shared" si="19"/>
        <v>1216</v>
      </c>
      <c r="E246" s="14">
        <f>COUNTIFS(orders!$C:$C,A246)</f>
        <v>1</v>
      </c>
      <c r="F246" s="16">
        <f>SUMIFS(orders!$M:$M,orders!$C:$C,A246)</f>
        <v>133.85999999999999</v>
      </c>
      <c r="G246" s="14" t="str">
        <f>INDEX(orders!$P:$P,MATCH(A246,orders!$C:$C,0))</f>
        <v>No</v>
      </c>
      <c r="H246" s="17">
        <f t="shared" si="20"/>
        <v>1</v>
      </c>
      <c r="I246" s="14">
        <f t="shared" si="21"/>
        <v>1</v>
      </c>
      <c r="J246">
        <f t="shared" si="22"/>
        <v>5</v>
      </c>
      <c r="K246" s="14">
        <f t="shared" si="23"/>
        <v>7</v>
      </c>
      <c r="L246" t="str">
        <f t="shared" si="24"/>
        <v>Lapsed One-Time Buyers</v>
      </c>
    </row>
    <row r="247" spans="1:12" x14ac:dyDescent="0.3">
      <c r="A247" s="12" t="s">
        <v>943</v>
      </c>
      <c r="B247" s="14" t="str">
        <f>INDEX(orders!$F:$F,MATCH(A247,orders!$C:$C,0))</f>
        <v>Ami Arnow</v>
      </c>
      <c r="C247" s="15">
        <f>_xlfn.MAXIFS(orders!$B:$B,orders!$C:$C,A247)</f>
        <v>43572</v>
      </c>
      <c r="D247" s="14">
        <f t="shared" si="19"/>
        <v>1221</v>
      </c>
      <c r="E247" s="14">
        <f>COUNTIFS(orders!$C:$C,A247)</f>
        <v>1</v>
      </c>
      <c r="F247" s="16">
        <f>SUMIFS(orders!$M:$M,orders!$C:$C,A247)</f>
        <v>38.849999999999994</v>
      </c>
      <c r="G247" s="14" t="str">
        <f>INDEX(orders!$P:$P,MATCH(A247,orders!$C:$C,0))</f>
        <v>Yes</v>
      </c>
      <c r="H247" s="17">
        <f t="shared" si="20"/>
        <v>1</v>
      </c>
      <c r="I247" s="14">
        <f t="shared" si="21"/>
        <v>1</v>
      </c>
      <c r="J247">
        <f t="shared" si="22"/>
        <v>3</v>
      </c>
      <c r="K247" s="14">
        <f t="shared" si="23"/>
        <v>5</v>
      </c>
      <c r="L247" t="str">
        <f t="shared" si="24"/>
        <v>Lapsed One-Time Buyers</v>
      </c>
    </row>
    <row r="248" spans="1:12" x14ac:dyDescent="0.3">
      <c r="A248" s="12" t="s">
        <v>3746</v>
      </c>
      <c r="B248" s="14" t="str">
        <f>INDEX(orders!$F:$F,MATCH(A248,orders!$C:$C,0))</f>
        <v>Phyllys Ormerod</v>
      </c>
      <c r="C248" s="15">
        <f>_xlfn.MAXIFS(orders!$B:$B,orders!$C:$C,A248)</f>
        <v>44290</v>
      </c>
      <c r="D248" s="14">
        <f t="shared" si="19"/>
        <v>503</v>
      </c>
      <c r="E248" s="14">
        <f>COUNTIFS(orders!$C:$C,A248)</f>
        <v>1</v>
      </c>
      <c r="F248" s="16">
        <f>SUMIFS(orders!$M:$M,orders!$C:$C,A248)</f>
        <v>17.91</v>
      </c>
      <c r="G248" s="14" t="str">
        <f>INDEX(orders!$P:$P,MATCH(A248,orders!$C:$C,0))</f>
        <v>No</v>
      </c>
      <c r="H248" s="17">
        <f t="shared" si="20"/>
        <v>4</v>
      </c>
      <c r="I248" s="14">
        <f t="shared" si="21"/>
        <v>1</v>
      </c>
      <c r="J248">
        <f t="shared" si="22"/>
        <v>2</v>
      </c>
      <c r="K248" s="14">
        <f t="shared" si="23"/>
        <v>7</v>
      </c>
      <c r="L248" t="str">
        <f t="shared" si="24"/>
        <v>Standard One-Time Buyers</v>
      </c>
    </row>
    <row r="249" spans="1:12" x14ac:dyDescent="0.3">
      <c r="A249" s="12" t="s">
        <v>4400</v>
      </c>
      <c r="B249" s="14" t="str">
        <f>INDEX(orders!$F:$F,MATCH(A249,orders!$C:$C,0))</f>
        <v>Ambrosio Weinmann</v>
      </c>
      <c r="C249" s="15">
        <f>_xlfn.MAXIFS(orders!$B:$B,orders!$C:$C,A249)</f>
        <v>43720</v>
      </c>
      <c r="D249" s="14">
        <f t="shared" si="19"/>
        <v>1073</v>
      </c>
      <c r="E249" s="14">
        <f>COUNTIFS(orders!$C:$C,A249)</f>
        <v>1</v>
      </c>
      <c r="F249" s="16">
        <f>SUMIFS(orders!$M:$M,orders!$C:$C,A249)</f>
        <v>12.95</v>
      </c>
      <c r="G249" s="14" t="str">
        <f>INDEX(orders!$P:$P,MATCH(A249,orders!$C:$C,0))</f>
        <v>No</v>
      </c>
      <c r="H249" s="17">
        <f t="shared" si="20"/>
        <v>1</v>
      </c>
      <c r="I249" s="14">
        <f t="shared" si="21"/>
        <v>1</v>
      </c>
      <c r="J249">
        <f t="shared" si="22"/>
        <v>1</v>
      </c>
      <c r="K249" s="14">
        <f t="shared" si="23"/>
        <v>3</v>
      </c>
      <c r="L249" t="str">
        <f t="shared" si="24"/>
        <v>Lapsed One-Time Buyers</v>
      </c>
    </row>
    <row r="250" spans="1:12" x14ac:dyDescent="0.3">
      <c r="A250" s="12" t="s">
        <v>4742</v>
      </c>
      <c r="B250" s="14" t="str">
        <f>INDEX(orders!$F:$F,MATCH(A250,orders!$C:$C,0))</f>
        <v>Bran Sterke</v>
      </c>
      <c r="C250" s="15">
        <f>_xlfn.MAXIFS(orders!$B:$B,orders!$C:$C,A250)</f>
        <v>43648</v>
      </c>
      <c r="D250" s="14">
        <f t="shared" si="19"/>
        <v>1145</v>
      </c>
      <c r="E250" s="14">
        <f>COUNTIFS(orders!$C:$C,A250)</f>
        <v>1</v>
      </c>
      <c r="F250" s="16">
        <f>SUMIFS(orders!$M:$M,orders!$C:$C,A250)</f>
        <v>27.5</v>
      </c>
      <c r="G250" s="14" t="str">
        <f>INDEX(orders!$P:$P,MATCH(A250,orders!$C:$C,0))</f>
        <v>Yes</v>
      </c>
      <c r="H250" s="17">
        <f t="shared" si="20"/>
        <v>1</v>
      </c>
      <c r="I250" s="14">
        <f t="shared" si="21"/>
        <v>1</v>
      </c>
      <c r="J250">
        <f t="shared" si="22"/>
        <v>3</v>
      </c>
      <c r="K250" s="14">
        <f t="shared" si="23"/>
        <v>5</v>
      </c>
      <c r="L250" t="str">
        <f t="shared" si="24"/>
        <v>Lapsed One-Time Buyers</v>
      </c>
    </row>
    <row r="251" spans="1:12" x14ac:dyDescent="0.3">
      <c r="A251" s="12" t="s">
        <v>785</v>
      </c>
      <c r="B251" s="14" t="str">
        <f>INDEX(orders!$F:$F,MATCH(A251,orders!$C:$C,0))</f>
        <v>Hartley Mattioli</v>
      </c>
      <c r="C251" s="15">
        <f>_xlfn.MAXIFS(orders!$B:$B,orders!$C:$C,A251)</f>
        <v>43719</v>
      </c>
      <c r="D251" s="14">
        <f t="shared" si="19"/>
        <v>1074</v>
      </c>
      <c r="E251" s="14">
        <f>COUNTIFS(orders!$C:$C,A251)</f>
        <v>2</v>
      </c>
      <c r="F251" s="16">
        <f>SUMIFS(orders!$M:$M,orders!$C:$C,A251)</f>
        <v>102.75999999999999</v>
      </c>
      <c r="G251" s="14" t="str">
        <f>INDEX(orders!$P:$P,MATCH(A251,orders!$C:$C,0))</f>
        <v>No</v>
      </c>
      <c r="H251" s="17">
        <f t="shared" si="20"/>
        <v>1</v>
      </c>
      <c r="I251" s="14">
        <f t="shared" si="21"/>
        <v>3</v>
      </c>
      <c r="J251">
        <f t="shared" si="22"/>
        <v>5</v>
      </c>
      <c r="K251" s="14">
        <f t="shared" si="23"/>
        <v>9</v>
      </c>
      <c r="L251" t="str">
        <f t="shared" si="24"/>
        <v>At-Risk Repeat Customers</v>
      </c>
    </row>
    <row r="252" spans="1:12" x14ac:dyDescent="0.3">
      <c r="A252" s="12" t="s">
        <v>2292</v>
      </c>
      <c r="B252" s="14" t="str">
        <f>INDEX(orders!$F:$F,MATCH(A252,orders!$C:$C,0))</f>
        <v>Gabie Tweed</v>
      </c>
      <c r="C252" s="15">
        <f>_xlfn.MAXIFS(orders!$B:$B,orders!$C:$C,A252)</f>
        <v>43676</v>
      </c>
      <c r="D252" s="14">
        <f t="shared" si="19"/>
        <v>1117</v>
      </c>
      <c r="E252" s="14">
        <f>COUNTIFS(orders!$C:$C,A252)</f>
        <v>2</v>
      </c>
      <c r="F252" s="16">
        <f>SUMIFS(orders!$M:$M,orders!$C:$C,A252)</f>
        <v>27.674999999999997</v>
      </c>
      <c r="G252" s="14" t="str">
        <f>INDEX(orders!$P:$P,MATCH(A252,orders!$C:$C,0))</f>
        <v>Yes</v>
      </c>
      <c r="H252" s="17">
        <f t="shared" si="20"/>
        <v>1</v>
      </c>
      <c r="I252" s="14">
        <f t="shared" si="21"/>
        <v>3</v>
      </c>
      <c r="J252">
        <f t="shared" si="22"/>
        <v>3</v>
      </c>
      <c r="K252" s="14">
        <f t="shared" si="23"/>
        <v>7</v>
      </c>
      <c r="L252" t="str">
        <f t="shared" si="24"/>
        <v>At-Risk Repeat Customers</v>
      </c>
    </row>
    <row r="253" spans="1:12" x14ac:dyDescent="0.3">
      <c r="A253" s="12" t="s">
        <v>3194</v>
      </c>
      <c r="B253" s="14" t="str">
        <f>INDEX(orders!$F:$F,MATCH(A253,orders!$C:$C,0))</f>
        <v>Ailey Brash</v>
      </c>
      <c r="C253" s="15">
        <f>_xlfn.MAXIFS(orders!$B:$B,orders!$C:$C,A253)</f>
        <v>44375</v>
      </c>
      <c r="D253" s="14">
        <f t="shared" si="19"/>
        <v>418</v>
      </c>
      <c r="E253" s="14">
        <f>COUNTIFS(orders!$C:$C,A253)</f>
        <v>4</v>
      </c>
      <c r="F253" s="16">
        <f>SUMIFS(orders!$M:$M,orders!$C:$C,A253)</f>
        <v>206.59999999999997</v>
      </c>
      <c r="G253" s="14" t="str">
        <f>INDEX(orders!$P:$P,MATCH(A253,orders!$C:$C,0))</f>
        <v>Yes</v>
      </c>
      <c r="H253" s="17">
        <f t="shared" si="20"/>
        <v>4</v>
      </c>
      <c r="I253" s="14">
        <f t="shared" si="21"/>
        <v>5</v>
      </c>
      <c r="J253">
        <f t="shared" si="22"/>
        <v>5</v>
      </c>
      <c r="K253" s="14">
        <f t="shared" si="23"/>
        <v>14</v>
      </c>
      <c r="L253" t="str">
        <f t="shared" si="24"/>
        <v>Loyal Repeat Customers</v>
      </c>
    </row>
    <row r="254" spans="1:12" x14ac:dyDescent="0.3">
      <c r="A254" s="12" t="s">
        <v>1702</v>
      </c>
      <c r="B254" s="14" t="str">
        <f>INDEX(orders!$F:$F,MATCH(A254,orders!$C:$C,0))</f>
        <v>Ilka Gurnee</v>
      </c>
      <c r="C254" s="15">
        <f>_xlfn.MAXIFS(orders!$B:$B,orders!$C:$C,A254)</f>
        <v>43829</v>
      </c>
      <c r="D254" s="14">
        <f t="shared" si="19"/>
        <v>964</v>
      </c>
      <c r="E254" s="14">
        <f>COUNTIFS(orders!$C:$C,A254)</f>
        <v>1</v>
      </c>
      <c r="F254" s="16">
        <f>SUMIFS(orders!$M:$M,orders!$C:$C,A254)</f>
        <v>23.31</v>
      </c>
      <c r="G254" s="14" t="str">
        <f>INDEX(orders!$P:$P,MATCH(A254,orders!$C:$C,0))</f>
        <v>No</v>
      </c>
      <c r="H254" s="17">
        <f t="shared" si="20"/>
        <v>2</v>
      </c>
      <c r="I254" s="14">
        <f t="shared" si="21"/>
        <v>1</v>
      </c>
      <c r="J254">
        <f t="shared" si="22"/>
        <v>2</v>
      </c>
      <c r="K254" s="14">
        <f t="shared" si="23"/>
        <v>5</v>
      </c>
      <c r="L254" t="str">
        <f t="shared" si="24"/>
        <v>Lapsed One-Time Buyers</v>
      </c>
    </row>
    <row r="255" spans="1:12" x14ac:dyDescent="0.3">
      <c r="A255" s="12" t="s">
        <v>3188</v>
      </c>
      <c r="B255" s="14" t="str">
        <f>INDEX(orders!$F:$F,MATCH(A255,orders!$C:$C,0))</f>
        <v>Fanny Flanagan</v>
      </c>
      <c r="C255" s="15">
        <f>_xlfn.MAXIFS(orders!$B:$B,orders!$C:$C,A255)</f>
        <v>43962</v>
      </c>
      <c r="D255" s="14">
        <f t="shared" si="19"/>
        <v>831</v>
      </c>
      <c r="E255" s="14">
        <f>COUNTIFS(orders!$C:$C,A255)</f>
        <v>1</v>
      </c>
      <c r="F255" s="16">
        <f>SUMIFS(orders!$M:$M,orders!$C:$C,A255)</f>
        <v>26.19</v>
      </c>
      <c r="G255" s="14" t="str">
        <f>INDEX(orders!$P:$P,MATCH(A255,orders!$C:$C,0))</f>
        <v>No</v>
      </c>
      <c r="H255" s="17">
        <f t="shared" si="20"/>
        <v>2</v>
      </c>
      <c r="I255" s="14">
        <f t="shared" si="21"/>
        <v>1</v>
      </c>
      <c r="J255">
        <f t="shared" si="22"/>
        <v>3</v>
      </c>
      <c r="K255" s="14">
        <f t="shared" si="23"/>
        <v>6</v>
      </c>
      <c r="L255" t="str">
        <f t="shared" si="24"/>
        <v>Lapsed One-Time Buyers</v>
      </c>
    </row>
    <row r="256" spans="1:12" x14ac:dyDescent="0.3">
      <c r="A256" s="12" t="s">
        <v>4724</v>
      </c>
      <c r="B256" s="14" t="str">
        <f>INDEX(orders!$F:$F,MATCH(A256,orders!$C:$C,0))</f>
        <v>Melodie OIlier</v>
      </c>
      <c r="C256" s="15">
        <f>_xlfn.MAXIFS(orders!$B:$B,orders!$C:$C,A256)</f>
        <v>44209</v>
      </c>
      <c r="D256" s="14">
        <f t="shared" si="19"/>
        <v>584</v>
      </c>
      <c r="E256" s="14">
        <f>COUNTIFS(orders!$C:$C,A256)</f>
        <v>1</v>
      </c>
      <c r="F256" s="16">
        <f>SUMIFS(orders!$M:$M,orders!$C:$C,A256)</f>
        <v>5.3699999999999992</v>
      </c>
      <c r="G256" s="14" t="str">
        <f>INDEX(orders!$P:$P,MATCH(A256,orders!$C:$C,0))</f>
        <v>Yes</v>
      </c>
      <c r="H256" s="17">
        <f t="shared" si="20"/>
        <v>3</v>
      </c>
      <c r="I256" s="14">
        <f t="shared" si="21"/>
        <v>1</v>
      </c>
      <c r="J256">
        <f t="shared" si="22"/>
        <v>1</v>
      </c>
      <c r="K256" s="14">
        <f t="shared" si="23"/>
        <v>5</v>
      </c>
      <c r="L256" t="str">
        <f t="shared" si="24"/>
        <v>Standard One-Time Buyers</v>
      </c>
    </row>
    <row r="257" spans="1:12" x14ac:dyDescent="0.3">
      <c r="A257" s="12" t="s">
        <v>3701</v>
      </c>
      <c r="B257" s="14" t="str">
        <f>INDEX(orders!$F:$F,MATCH(A257,orders!$C:$C,0))</f>
        <v>Claiborne Mottram</v>
      </c>
      <c r="C257" s="15">
        <f>_xlfn.MAXIFS(orders!$B:$B,orders!$C:$C,A257)</f>
        <v>44526</v>
      </c>
      <c r="D257" s="14">
        <f t="shared" si="19"/>
        <v>267</v>
      </c>
      <c r="E257" s="14">
        <f>COUNTIFS(orders!$C:$C,A257)</f>
        <v>1</v>
      </c>
      <c r="F257" s="16">
        <f>SUMIFS(orders!$M:$M,orders!$C:$C,A257)</f>
        <v>19.02</v>
      </c>
      <c r="G257" s="14" t="str">
        <f>INDEX(orders!$P:$P,MATCH(A257,orders!$C:$C,0))</f>
        <v>Yes</v>
      </c>
      <c r="H257" s="17">
        <f t="shared" si="20"/>
        <v>5</v>
      </c>
      <c r="I257" s="14">
        <f t="shared" si="21"/>
        <v>1</v>
      </c>
      <c r="J257">
        <f t="shared" si="22"/>
        <v>2</v>
      </c>
      <c r="K257" s="14">
        <f t="shared" si="23"/>
        <v>8</v>
      </c>
      <c r="L257" t="str">
        <f t="shared" si="24"/>
        <v>Standard One-Time Buyers</v>
      </c>
    </row>
    <row r="258" spans="1:12" x14ac:dyDescent="0.3">
      <c r="A258" s="12" t="s">
        <v>5979</v>
      </c>
      <c r="B258" s="14" t="str">
        <f>INDEX(orders!$F:$F,MATCH(A258,orders!$C:$C,0))</f>
        <v>Noni Furber</v>
      </c>
      <c r="C258" s="15">
        <f>_xlfn.MAXIFS(orders!$B:$B,orders!$C:$C,A258)</f>
        <v>43703</v>
      </c>
      <c r="D258" s="14">
        <f t="shared" si="19"/>
        <v>1090</v>
      </c>
      <c r="E258" s="14">
        <f>COUNTIFS(orders!$C:$C,A258)</f>
        <v>1</v>
      </c>
      <c r="F258" s="16">
        <f>SUMIFS(orders!$M:$M,orders!$C:$C,A258)</f>
        <v>148.92499999999998</v>
      </c>
      <c r="G258" s="14" t="str">
        <f>INDEX(orders!$P:$P,MATCH(A258,orders!$C:$C,0))</f>
        <v>No</v>
      </c>
      <c r="H258" s="17">
        <f t="shared" si="20"/>
        <v>1</v>
      </c>
      <c r="I258" s="14">
        <f t="shared" si="21"/>
        <v>1</v>
      </c>
      <c r="J258">
        <f t="shared" si="22"/>
        <v>5</v>
      </c>
      <c r="K258" s="14">
        <f t="shared" si="23"/>
        <v>7</v>
      </c>
      <c r="L258" t="str">
        <f t="shared" si="24"/>
        <v>Lapsed One-Time Buyers</v>
      </c>
    </row>
    <row r="259" spans="1:12" x14ac:dyDescent="0.3">
      <c r="A259" s="12" t="s">
        <v>2051</v>
      </c>
      <c r="B259" s="14" t="str">
        <f>INDEX(orders!$F:$F,MATCH(A259,orders!$C:$C,0))</f>
        <v>Dorelia Bury</v>
      </c>
      <c r="C259" s="15">
        <f>_xlfn.MAXIFS(orders!$B:$B,orders!$C:$C,A259)</f>
        <v>43992</v>
      </c>
      <c r="D259" s="14">
        <f t="shared" si="19"/>
        <v>801</v>
      </c>
      <c r="E259" s="14">
        <f>COUNTIFS(orders!$C:$C,A259)</f>
        <v>1</v>
      </c>
      <c r="F259" s="16">
        <f>SUMIFS(orders!$M:$M,orders!$C:$C,A259)</f>
        <v>109.93999999999998</v>
      </c>
      <c r="G259" s="14" t="str">
        <f>INDEX(orders!$P:$P,MATCH(A259,orders!$C:$C,0))</f>
        <v>Yes</v>
      </c>
      <c r="H259" s="17">
        <f t="shared" si="20"/>
        <v>2</v>
      </c>
      <c r="I259" s="14">
        <f t="shared" si="21"/>
        <v>1</v>
      </c>
      <c r="J259">
        <f t="shared" si="22"/>
        <v>5</v>
      </c>
      <c r="K259" s="14">
        <f t="shared" si="23"/>
        <v>8</v>
      </c>
      <c r="L259" t="str">
        <f t="shared" si="24"/>
        <v>Lapsed One-Time Buyers</v>
      </c>
    </row>
    <row r="260" spans="1:12" x14ac:dyDescent="0.3">
      <c r="A260" s="12" t="s">
        <v>4257</v>
      </c>
      <c r="B260" s="14" t="str">
        <f>INDEX(orders!$F:$F,MATCH(A260,orders!$C:$C,0))</f>
        <v>Nissie Rudland</v>
      </c>
      <c r="C260" s="15">
        <f>_xlfn.MAXIFS(orders!$B:$B,orders!$C:$C,A260)</f>
        <v>44451</v>
      </c>
      <c r="D260" s="14">
        <f t="shared" si="19"/>
        <v>342</v>
      </c>
      <c r="E260" s="14">
        <f>COUNTIFS(orders!$C:$C,A260)</f>
        <v>1</v>
      </c>
      <c r="F260" s="16">
        <f>SUMIFS(orders!$M:$M,orders!$C:$C,A260)</f>
        <v>59.699999999999996</v>
      </c>
      <c r="G260" s="14" t="str">
        <f>INDEX(orders!$P:$P,MATCH(A260,orders!$C:$C,0))</f>
        <v>No</v>
      </c>
      <c r="H260" s="17">
        <f t="shared" si="20"/>
        <v>4</v>
      </c>
      <c r="I260" s="14">
        <f t="shared" si="21"/>
        <v>1</v>
      </c>
      <c r="J260">
        <f t="shared" si="22"/>
        <v>4</v>
      </c>
      <c r="K260" s="14">
        <f t="shared" si="23"/>
        <v>9</v>
      </c>
      <c r="L260" t="str">
        <f t="shared" si="24"/>
        <v>Recent High-Value (One-Time)</v>
      </c>
    </row>
    <row r="261" spans="1:12" x14ac:dyDescent="0.3">
      <c r="A261" s="12" t="s">
        <v>5113</v>
      </c>
      <c r="B261" s="14" t="str">
        <f>INDEX(orders!$F:$F,MATCH(A261,orders!$C:$C,0))</f>
        <v>Allis Wilmore</v>
      </c>
      <c r="C261" s="15">
        <f>_xlfn.MAXIFS(orders!$B:$B,orders!$C:$C,A261)</f>
        <v>44761</v>
      </c>
      <c r="D261" s="14">
        <f t="shared" si="19"/>
        <v>32</v>
      </c>
      <c r="E261" s="14">
        <f>COUNTIFS(orders!$C:$C,A261)</f>
        <v>3</v>
      </c>
      <c r="F261" s="16">
        <f>SUMIFS(orders!$M:$M,orders!$C:$C,A261)</f>
        <v>317.06999999999994</v>
      </c>
      <c r="G261" s="14" t="str">
        <f>INDEX(orders!$P:$P,MATCH(A261,orders!$C:$C,0))</f>
        <v>No</v>
      </c>
      <c r="H261" s="17">
        <f t="shared" si="20"/>
        <v>5</v>
      </c>
      <c r="I261" s="14">
        <f t="shared" si="21"/>
        <v>5</v>
      </c>
      <c r="J261">
        <f t="shared" si="22"/>
        <v>5</v>
      </c>
      <c r="K261" s="14">
        <f t="shared" si="23"/>
        <v>15</v>
      </c>
      <c r="L261" t="str">
        <f t="shared" si="24"/>
        <v>Loyal Repeat Customers</v>
      </c>
    </row>
    <row r="262" spans="1:12" x14ac:dyDescent="0.3">
      <c r="A262" s="12" t="s">
        <v>4643</v>
      </c>
      <c r="B262" s="14" t="str">
        <f>INDEX(orders!$F:$F,MATCH(A262,orders!$C:$C,0))</f>
        <v>Babb Pollins</v>
      </c>
      <c r="C262" s="15">
        <f>_xlfn.MAXIFS(orders!$B:$B,orders!$C:$C,A262)</f>
        <v>44757</v>
      </c>
      <c r="D262" s="14">
        <f t="shared" ref="D262:D325" si="25">$B$1-C262</f>
        <v>36</v>
      </c>
      <c r="E262" s="14">
        <f>COUNTIFS(orders!$C:$C,A262)</f>
        <v>1</v>
      </c>
      <c r="F262" s="16">
        <f>SUMIFS(orders!$M:$M,orders!$C:$C,A262)</f>
        <v>21.87</v>
      </c>
      <c r="G262" s="14" t="str">
        <f>INDEX(orders!$P:$P,MATCH(A262,orders!$C:$C,0))</f>
        <v>No</v>
      </c>
      <c r="H262" s="17">
        <f t="shared" ref="H262:H325" si="26">IF(D262&lt;=$E$1,5,IF(D262&lt;=$F$1,4,IF(D262&lt;=$G$1,3,IF(D262&lt;=$H$1,2,1))))</f>
        <v>5</v>
      </c>
      <c r="I262" s="14">
        <f t="shared" ref="I262:I325" si="27">IF(E262&lt;=1,1,IF(E262&lt;=2,3,5))</f>
        <v>1</v>
      </c>
      <c r="J262">
        <f t="shared" ref="J262:J325" si="28">IF(F262&lt;=PERCENTILE($F$5:$F$917,0.2),1,IF(F262&lt;=PERCENTILE($F$5:$F$917,0.4),2,IF(F262&lt;=PERCENTILE($F$5:$F$917,0.6),3,IF(F262&lt;=PERCENTILE($F$5:$F$917,0.8),4,5))))</f>
        <v>2</v>
      </c>
      <c r="K262" s="14">
        <f t="shared" ref="K262:K325" si="29">H262+I262+J262</f>
        <v>8</v>
      </c>
      <c r="L262" t="str">
        <f t="shared" ref="L262:L325" si="30">IF(AND(E262&gt;=2,H262&gt;=4),"Loyal Repeat Customers",IF(E262&gt;=2,"At-Risk Repeat Customers",IF(AND(H262&gt;=4,J262&gt;=4),"Recent High-Value (One-Time)",IF(H262&lt;=2,"Lapsed One-Time Buyers","Standard One-Time Buyers"))))</f>
        <v>Standard One-Time Buyers</v>
      </c>
    </row>
    <row r="263" spans="1:12" x14ac:dyDescent="0.3">
      <c r="A263" s="12" t="s">
        <v>5749</v>
      </c>
      <c r="B263" s="14" t="str">
        <f>INDEX(orders!$F:$F,MATCH(A263,orders!$C:$C,0))</f>
        <v>Kameko Philbrick</v>
      </c>
      <c r="C263" s="15">
        <f>_xlfn.MAXIFS(orders!$B:$B,orders!$C:$C,A263)</f>
        <v>43546</v>
      </c>
      <c r="D263" s="14">
        <f t="shared" si="25"/>
        <v>1247</v>
      </c>
      <c r="E263" s="14">
        <f>COUNTIFS(orders!$C:$C,A263)</f>
        <v>1</v>
      </c>
      <c r="F263" s="16">
        <f>SUMIFS(orders!$M:$M,orders!$C:$C,A263)</f>
        <v>12.15</v>
      </c>
      <c r="G263" s="14" t="str">
        <f>INDEX(orders!$P:$P,MATCH(A263,orders!$C:$C,0))</f>
        <v>Yes</v>
      </c>
      <c r="H263" s="17">
        <f t="shared" si="26"/>
        <v>1</v>
      </c>
      <c r="I263" s="14">
        <f t="shared" si="27"/>
        <v>1</v>
      </c>
      <c r="J263">
        <f t="shared" si="28"/>
        <v>1</v>
      </c>
      <c r="K263" s="14">
        <f t="shared" si="29"/>
        <v>3</v>
      </c>
      <c r="L263" t="str">
        <f t="shared" si="30"/>
        <v>Lapsed One-Time Buyers</v>
      </c>
    </row>
    <row r="264" spans="1:12" x14ac:dyDescent="0.3">
      <c r="A264" s="12" t="s">
        <v>1476</v>
      </c>
      <c r="B264" s="14" t="str">
        <f>INDEX(orders!$F:$F,MATCH(A264,orders!$C:$C,0))</f>
        <v>Ethelda Hobbing</v>
      </c>
      <c r="C264" s="15">
        <f>_xlfn.MAXIFS(orders!$B:$B,orders!$C:$C,A264)</f>
        <v>44296</v>
      </c>
      <c r="D264" s="14">
        <f t="shared" si="25"/>
        <v>497</v>
      </c>
      <c r="E264" s="14">
        <f>COUNTIFS(orders!$C:$C,A264)</f>
        <v>1</v>
      </c>
      <c r="F264" s="16">
        <f>SUMIFS(orders!$M:$M,orders!$C:$C,A264)</f>
        <v>63.249999999999993</v>
      </c>
      <c r="G264" s="14" t="str">
        <f>INDEX(orders!$P:$P,MATCH(A264,orders!$C:$C,0))</f>
        <v>Yes</v>
      </c>
      <c r="H264" s="17">
        <f t="shared" si="26"/>
        <v>4</v>
      </c>
      <c r="I264" s="14">
        <f t="shared" si="27"/>
        <v>1</v>
      </c>
      <c r="J264">
        <f t="shared" si="28"/>
        <v>4</v>
      </c>
      <c r="K264" s="14">
        <f t="shared" si="29"/>
        <v>9</v>
      </c>
      <c r="L264" t="str">
        <f t="shared" si="30"/>
        <v>Recent High-Value (One-Time)</v>
      </c>
    </row>
    <row r="265" spans="1:12" x14ac:dyDescent="0.3">
      <c r="A265" s="12" t="s">
        <v>5538</v>
      </c>
      <c r="B265" s="14" t="str">
        <f>INDEX(orders!$F:$F,MATCH(A265,orders!$C:$C,0))</f>
        <v>Patsy Vasilenko</v>
      </c>
      <c r="C265" s="15">
        <f>_xlfn.MAXIFS(orders!$B:$B,orders!$C:$C,A265)</f>
        <v>43635</v>
      </c>
      <c r="D265" s="14">
        <f t="shared" si="25"/>
        <v>1158</v>
      </c>
      <c r="E265" s="14">
        <f>COUNTIFS(orders!$C:$C,A265)</f>
        <v>1</v>
      </c>
      <c r="F265" s="16">
        <f>SUMIFS(orders!$M:$M,orders!$C:$C,A265)</f>
        <v>20.625</v>
      </c>
      <c r="G265" s="14" t="str">
        <f>INDEX(orders!$P:$P,MATCH(A265,orders!$C:$C,0))</f>
        <v>No</v>
      </c>
      <c r="H265" s="17">
        <f t="shared" si="26"/>
        <v>1</v>
      </c>
      <c r="I265" s="14">
        <f t="shared" si="27"/>
        <v>1</v>
      </c>
      <c r="J265">
        <f t="shared" si="28"/>
        <v>2</v>
      </c>
      <c r="K265" s="14">
        <f t="shared" si="29"/>
        <v>4</v>
      </c>
      <c r="L265" t="str">
        <f t="shared" si="30"/>
        <v>Lapsed One-Time Buyers</v>
      </c>
    </row>
    <row r="266" spans="1:12" x14ac:dyDescent="0.3">
      <c r="A266" s="12" t="s">
        <v>3077</v>
      </c>
      <c r="B266" s="14" t="str">
        <f>INDEX(orders!$F:$F,MATCH(A266,orders!$C:$C,0))</f>
        <v>Rodolfo Willoway</v>
      </c>
      <c r="C266" s="15">
        <f>_xlfn.MAXIFS(orders!$B:$B,orders!$C:$C,A266)</f>
        <v>44707</v>
      </c>
      <c r="D266" s="14">
        <f t="shared" si="25"/>
        <v>86</v>
      </c>
      <c r="E266" s="14">
        <f>COUNTIFS(orders!$C:$C,A266)</f>
        <v>1</v>
      </c>
      <c r="F266" s="16">
        <f>SUMIFS(orders!$M:$M,orders!$C:$C,A266)</f>
        <v>45</v>
      </c>
      <c r="G266" s="14" t="str">
        <f>INDEX(orders!$P:$P,MATCH(A266,orders!$C:$C,0))</f>
        <v>No</v>
      </c>
      <c r="H266" s="17">
        <f t="shared" si="26"/>
        <v>5</v>
      </c>
      <c r="I266" s="14">
        <f t="shared" si="27"/>
        <v>1</v>
      </c>
      <c r="J266">
        <f t="shared" si="28"/>
        <v>4</v>
      </c>
      <c r="K266" s="14">
        <f t="shared" si="29"/>
        <v>10</v>
      </c>
      <c r="L266" t="str">
        <f t="shared" si="30"/>
        <v>Recent High-Value (One-Time)</v>
      </c>
    </row>
    <row r="267" spans="1:12" x14ac:dyDescent="0.3">
      <c r="A267" s="12" t="s">
        <v>914</v>
      </c>
      <c r="B267" s="14" t="str">
        <f>INDEX(orders!$F:$F,MATCH(A267,orders!$C:$C,0))</f>
        <v>Kipper Boorn</v>
      </c>
      <c r="C267" s="15">
        <f>_xlfn.MAXIFS(orders!$B:$B,orders!$C:$C,A267)</f>
        <v>44400</v>
      </c>
      <c r="D267" s="14">
        <f t="shared" si="25"/>
        <v>393</v>
      </c>
      <c r="E267" s="14">
        <f>COUNTIFS(orders!$C:$C,A267)</f>
        <v>1</v>
      </c>
      <c r="F267" s="16">
        <f>SUMIFS(orders!$M:$M,orders!$C:$C,A267)</f>
        <v>53.699999999999996</v>
      </c>
      <c r="G267" s="14" t="str">
        <f>INDEX(orders!$P:$P,MATCH(A267,orders!$C:$C,0))</f>
        <v>Yes</v>
      </c>
      <c r="H267" s="17">
        <f t="shared" si="26"/>
        <v>4</v>
      </c>
      <c r="I267" s="14">
        <f t="shared" si="27"/>
        <v>1</v>
      </c>
      <c r="J267">
        <f t="shared" si="28"/>
        <v>4</v>
      </c>
      <c r="K267" s="14">
        <f t="shared" si="29"/>
        <v>9</v>
      </c>
      <c r="L267" t="str">
        <f t="shared" si="30"/>
        <v>Recent High-Value (One-Time)</v>
      </c>
    </row>
    <row r="268" spans="1:12" x14ac:dyDescent="0.3">
      <c r="A268" s="12" t="s">
        <v>6026</v>
      </c>
      <c r="B268" s="14" t="str">
        <f>INDEX(orders!$F:$F,MATCH(A268,orders!$C:$C,0))</f>
        <v>Javier Causnett</v>
      </c>
      <c r="C268" s="15">
        <f>_xlfn.MAXIFS(orders!$B:$B,orders!$C:$C,A268)</f>
        <v>43856</v>
      </c>
      <c r="D268" s="14">
        <f t="shared" si="25"/>
        <v>937</v>
      </c>
      <c r="E268" s="14">
        <f>COUNTIFS(orders!$C:$C,A268)</f>
        <v>1</v>
      </c>
      <c r="F268" s="16">
        <f>SUMIFS(orders!$M:$M,orders!$C:$C,A268)</f>
        <v>10.739999999999998</v>
      </c>
      <c r="G268" s="14" t="str">
        <f>INDEX(orders!$P:$P,MATCH(A268,orders!$C:$C,0))</f>
        <v>No</v>
      </c>
      <c r="H268" s="17">
        <f t="shared" si="26"/>
        <v>2</v>
      </c>
      <c r="I268" s="14">
        <f t="shared" si="27"/>
        <v>1</v>
      </c>
      <c r="J268">
        <f t="shared" si="28"/>
        <v>1</v>
      </c>
      <c r="K268" s="14">
        <f t="shared" si="29"/>
        <v>4</v>
      </c>
      <c r="L268" t="str">
        <f t="shared" si="30"/>
        <v>Lapsed One-Time Buyers</v>
      </c>
    </row>
    <row r="269" spans="1:12" x14ac:dyDescent="0.3">
      <c r="A269" s="12" t="s">
        <v>1550</v>
      </c>
      <c r="B269" s="14" t="str">
        <f>INDEX(orders!$F:$F,MATCH(A269,orders!$C:$C,0))</f>
        <v>Astrix Kitchingham</v>
      </c>
      <c r="C269" s="15">
        <f>_xlfn.MAXIFS(orders!$B:$B,orders!$C:$C,A269)</f>
        <v>44698</v>
      </c>
      <c r="D269" s="14">
        <f t="shared" si="25"/>
        <v>95</v>
      </c>
      <c r="E269" s="14">
        <f>COUNTIFS(orders!$C:$C,A269)</f>
        <v>1</v>
      </c>
      <c r="F269" s="16">
        <f>SUMIFS(orders!$M:$M,orders!$C:$C,A269)</f>
        <v>4.4550000000000001</v>
      </c>
      <c r="G269" s="14" t="str">
        <f>INDEX(orders!$P:$P,MATCH(A269,orders!$C:$C,0))</f>
        <v>Yes</v>
      </c>
      <c r="H269" s="17">
        <f t="shared" si="26"/>
        <v>5</v>
      </c>
      <c r="I269" s="14">
        <f t="shared" si="27"/>
        <v>1</v>
      </c>
      <c r="J269">
        <f t="shared" si="28"/>
        <v>1</v>
      </c>
      <c r="K269" s="14">
        <f t="shared" si="29"/>
        <v>7</v>
      </c>
      <c r="L269" t="str">
        <f t="shared" si="30"/>
        <v>Standard One-Time Buyers</v>
      </c>
    </row>
    <row r="270" spans="1:12" x14ac:dyDescent="0.3">
      <c r="A270" s="12" t="s">
        <v>2690</v>
      </c>
      <c r="B270" s="14" t="str">
        <f>INDEX(orders!$F:$F,MATCH(A270,orders!$C:$C,0))</f>
        <v>Sloan Diviny</v>
      </c>
      <c r="C270" s="15">
        <f>_xlfn.MAXIFS(orders!$B:$B,orders!$C:$C,A270)</f>
        <v>44245</v>
      </c>
      <c r="D270" s="14">
        <f t="shared" si="25"/>
        <v>548</v>
      </c>
      <c r="E270" s="14">
        <f>COUNTIFS(orders!$C:$C,A270)</f>
        <v>1</v>
      </c>
      <c r="F270" s="16">
        <f>SUMIFS(orders!$M:$M,orders!$C:$C,A270)</f>
        <v>14.58</v>
      </c>
      <c r="G270" s="14" t="str">
        <f>INDEX(orders!$P:$P,MATCH(A270,orders!$C:$C,0))</f>
        <v>Yes</v>
      </c>
      <c r="H270" s="17">
        <f t="shared" si="26"/>
        <v>3</v>
      </c>
      <c r="I270" s="14">
        <f t="shared" si="27"/>
        <v>1</v>
      </c>
      <c r="J270">
        <f t="shared" si="28"/>
        <v>2</v>
      </c>
      <c r="K270" s="14">
        <f t="shared" si="29"/>
        <v>6</v>
      </c>
      <c r="L270" t="str">
        <f t="shared" si="30"/>
        <v>Standard One-Time Buyers</v>
      </c>
    </row>
    <row r="271" spans="1:12" x14ac:dyDescent="0.3">
      <c r="A271" s="12" t="s">
        <v>1028</v>
      </c>
      <c r="B271" s="14" t="str">
        <f>INDEX(orders!$F:$F,MATCH(A271,orders!$C:$C,0))</f>
        <v>Vicki Kirdsch</v>
      </c>
      <c r="C271" s="15">
        <f>_xlfn.MAXIFS(orders!$B:$B,orders!$C:$C,A271)</f>
        <v>44171</v>
      </c>
      <c r="D271" s="14">
        <f t="shared" si="25"/>
        <v>622</v>
      </c>
      <c r="E271" s="14">
        <f>COUNTIFS(orders!$C:$C,A271)</f>
        <v>1</v>
      </c>
      <c r="F271" s="16">
        <f>SUMIFS(orders!$M:$M,orders!$C:$C,A271)</f>
        <v>5.97</v>
      </c>
      <c r="G271" s="14" t="str">
        <f>INDEX(orders!$P:$P,MATCH(A271,orders!$C:$C,0))</f>
        <v>No</v>
      </c>
      <c r="H271" s="17">
        <f t="shared" si="26"/>
        <v>3</v>
      </c>
      <c r="I271" s="14">
        <f t="shared" si="27"/>
        <v>1</v>
      </c>
      <c r="J271">
        <f t="shared" si="28"/>
        <v>1</v>
      </c>
      <c r="K271" s="14">
        <f t="shared" si="29"/>
        <v>5</v>
      </c>
      <c r="L271" t="str">
        <f t="shared" si="30"/>
        <v>Standard One-Time Buyers</v>
      </c>
    </row>
    <row r="272" spans="1:12" x14ac:dyDescent="0.3">
      <c r="A272" s="12" t="s">
        <v>4099</v>
      </c>
      <c r="B272" s="14" t="str">
        <f>INDEX(orders!$F:$F,MATCH(A272,orders!$C:$C,0))</f>
        <v>Jeno Capey</v>
      </c>
      <c r="C272" s="15">
        <f>_xlfn.MAXIFS(orders!$B:$B,orders!$C:$C,A272)</f>
        <v>44331</v>
      </c>
      <c r="D272" s="14">
        <f t="shared" si="25"/>
        <v>462</v>
      </c>
      <c r="E272" s="14">
        <f>COUNTIFS(orders!$C:$C,A272)</f>
        <v>1</v>
      </c>
      <c r="F272" s="16">
        <f>SUMIFS(orders!$M:$M,orders!$C:$C,A272)</f>
        <v>3.8849999999999998</v>
      </c>
      <c r="G272" s="14" t="str">
        <f>INDEX(orders!$P:$P,MATCH(A272,orders!$C:$C,0))</f>
        <v>Yes</v>
      </c>
      <c r="H272" s="17">
        <f t="shared" si="26"/>
        <v>4</v>
      </c>
      <c r="I272" s="14">
        <f t="shared" si="27"/>
        <v>1</v>
      </c>
      <c r="J272">
        <f t="shared" si="28"/>
        <v>1</v>
      </c>
      <c r="K272" s="14">
        <f t="shared" si="29"/>
        <v>6</v>
      </c>
      <c r="L272" t="str">
        <f t="shared" si="30"/>
        <v>Standard One-Time Buyers</v>
      </c>
    </row>
    <row r="273" spans="1:12" x14ac:dyDescent="0.3">
      <c r="A273" s="12" t="s">
        <v>3979</v>
      </c>
      <c r="B273" s="14" t="str">
        <f>INDEX(orders!$F:$F,MATCH(A273,orders!$C:$C,0))</f>
        <v>Innis Renhard</v>
      </c>
      <c r="C273" s="15">
        <f>_xlfn.MAXIFS(orders!$B:$B,orders!$C:$C,A273)</f>
        <v>44469</v>
      </c>
      <c r="D273" s="14">
        <f t="shared" si="25"/>
        <v>324</v>
      </c>
      <c r="E273" s="14">
        <f>COUNTIFS(orders!$C:$C,A273)</f>
        <v>1</v>
      </c>
      <c r="F273" s="16">
        <f>SUMIFS(orders!$M:$M,orders!$C:$C,A273)</f>
        <v>72.900000000000006</v>
      </c>
      <c r="G273" s="14" t="str">
        <f>INDEX(orders!$P:$P,MATCH(A273,orders!$C:$C,0))</f>
        <v>Yes</v>
      </c>
      <c r="H273" s="17">
        <f t="shared" si="26"/>
        <v>4</v>
      </c>
      <c r="I273" s="14">
        <f t="shared" si="27"/>
        <v>1</v>
      </c>
      <c r="J273">
        <f t="shared" si="28"/>
        <v>4</v>
      </c>
      <c r="K273" s="14">
        <f t="shared" si="29"/>
        <v>9</v>
      </c>
      <c r="L273" t="str">
        <f t="shared" si="30"/>
        <v>Recent High-Value (One-Time)</v>
      </c>
    </row>
    <row r="274" spans="1:12" x14ac:dyDescent="0.3">
      <c r="A274" s="12" t="s">
        <v>3967</v>
      </c>
      <c r="B274" s="14" t="str">
        <f>INDEX(orders!$F:$F,MATCH(A274,orders!$C:$C,0))</f>
        <v>Linus Flippelli</v>
      </c>
      <c r="C274" s="15">
        <f>_xlfn.MAXIFS(orders!$B:$B,orders!$C:$C,A274)</f>
        <v>44271</v>
      </c>
      <c r="D274" s="14">
        <f t="shared" si="25"/>
        <v>522</v>
      </c>
      <c r="E274" s="14">
        <f>COUNTIFS(orders!$C:$C,A274)</f>
        <v>1</v>
      </c>
      <c r="F274" s="16">
        <f>SUMIFS(orders!$M:$M,orders!$C:$C,A274)</f>
        <v>126.49999999999999</v>
      </c>
      <c r="G274" s="14" t="str">
        <f>INDEX(orders!$P:$P,MATCH(A274,orders!$C:$C,0))</f>
        <v>No</v>
      </c>
      <c r="H274" s="17">
        <f t="shared" si="26"/>
        <v>3</v>
      </c>
      <c r="I274" s="14">
        <f t="shared" si="27"/>
        <v>1</v>
      </c>
      <c r="J274">
        <f t="shared" si="28"/>
        <v>5</v>
      </c>
      <c r="K274" s="14">
        <f t="shared" si="29"/>
        <v>9</v>
      </c>
      <c r="L274" t="str">
        <f t="shared" si="30"/>
        <v>Standard One-Time Buyers</v>
      </c>
    </row>
    <row r="275" spans="1:12" x14ac:dyDescent="0.3">
      <c r="A275" s="12" t="s">
        <v>5003</v>
      </c>
      <c r="B275" s="14" t="str">
        <f>INDEX(orders!$F:$F,MATCH(A275,orders!$C:$C,0))</f>
        <v>Guenevere Ruggen</v>
      </c>
      <c r="C275" s="15">
        <f>_xlfn.MAXIFS(orders!$B:$B,orders!$C:$C,A275)</f>
        <v>43950</v>
      </c>
      <c r="D275" s="14">
        <f t="shared" si="25"/>
        <v>843</v>
      </c>
      <c r="E275" s="14">
        <f>COUNTIFS(orders!$C:$C,A275)</f>
        <v>1</v>
      </c>
      <c r="F275" s="16">
        <f>SUMIFS(orders!$M:$M,orders!$C:$C,A275)</f>
        <v>8.0549999999999997</v>
      </c>
      <c r="G275" s="14" t="str">
        <f>INDEX(orders!$P:$P,MATCH(A275,orders!$C:$C,0))</f>
        <v>Yes</v>
      </c>
      <c r="H275" s="17">
        <f t="shared" si="26"/>
        <v>2</v>
      </c>
      <c r="I275" s="14">
        <f t="shared" si="27"/>
        <v>1</v>
      </c>
      <c r="J275">
        <f t="shared" si="28"/>
        <v>1</v>
      </c>
      <c r="K275" s="14">
        <f t="shared" si="29"/>
        <v>4</v>
      </c>
      <c r="L275" t="str">
        <f t="shared" si="30"/>
        <v>Lapsed One-Time Buyers</v>
      </c>
    </row>
    <row r="276" spans="1:12" x14ac:dyDescent="0.3">
      <c r="A276" s="12" t="s">
        <v>4986</v>
      </c>
      <c r="B276" s="14" t="str">
        <f>INDEX(orders!$F:$F,MATCH(A276,orders!$C:$C,0))</f>
        <v>Wright Caldero</v>
      </c>
      <c r="C276" s="15">
        <f>_xlfn.MAXIFS(orders!$B:$B,orders!$C:$C,A276)</f>
        <v>43540</v>
      </c>
      <c r="D276" s="14">
        <f t="shared" si="25"/>
        <v>1253</v>
      </c>
      <c r="E276" s="14">
        <f>COUNTIFS(orders!$C:$C,A276)</f>
        <v>1</v>
      </c>
      <c r="F276" s="16">
        <f>SUMIFS(orders!$M:$M,orders!$C:$C,A276)</f>
        <v>28.679999999999996</v>
      </c>
      <c r="G276" s="14" t="str">
        <f>INDEX(orders!$P:$P,MATCH(A276,orders!$C:$C,0))</f>
        <v>No</v>
      </c>
      <c r="H276" s="17">
        <f t="shared" si="26"/>
        <v>1</v>
      </c>
      <c r="I276" s="14">
        <f t="shared" si="27"/>
        <v>1</v>
      </c>
      <c r="J276">
        <f t="shared" si="28"/>
        <v>3</v>
      </c>
      <c r="K276" s="14">
        <f t="shared" si="29"/>
        <v>5</v>
      </c>
      <c r="L276" t="str">
        <f t="shared" si="30"/>
        <v>Lapsed One-Time Buyers</v>
      </c>
    </row>
    <row r="277" spans="1:12" x14ac:dyDescent="0.3">
      <c r="A277" s="12" t="s">
        <v>2522</v>
      </c>
      <c r="B277" s="14" t="str">
        <f>INDEX(orders!$F:$F,MATCH(A277,orders!$C:$C,0))</f>
        <v>Nicko Corps</v>
      </c>
      <c r="C277" s="15">
        <f>_xlfn.MAXIFS(orders!$B:$B,orders!$C:$C,A277)</f>
        <v>44058</v>
      </c>
      <c r="D277" s="14">
        <f t="shared" si="25"/>
        <v>735</v>
      </c>
      <c r="E277" s="14">
        <f>COUNTIFS(orders!$C:$C,A277)</f>
        <v>2</v>
      </c>
      <c r="F277" s="16">
        <f>SUMIFS(orders!$M:$M,orders!$C:$C,A277)</f>
        <v>47.139999999999993</v>
      </c>
      <c r="G277" s="14" t="str">
        <f>INDEX(orders!$P:$P,MATCH(A277,orders!$C:$C,0))</f>
        <v>No</v>
      </c>
      <c r="H277" s="17">
        <f t="shared" si="26"/>
        <v>3</v>
      </c>
      <c r="I277" s="14">
        <f t="shared" si="27"/>
        <v>3</v>
      </c>
      <c r="J277">
        <f t="shared" si="28"/>
        <v>4</v>
      </c>
      <c r="K277" s="14">
        <f t="shared" si="29"/>
        <v>10</v>
      </c>
      <c r="L277" t="str">
        <f t="shared" si="30"/>
        <v>At-Risk Repeat Customers</v>
      </c>
    </row>
    <row r="278" spans="1:12" x14ac:dyDescent="0.3">
      <c r="A278" s="12" t="s">
        <v>4240</v>
      </c>
      <c r="B278" s="14" t="str">
        <f>INDEX(orders!$F:$F,MATCH(A278,orders!$C:$C,0))</f>
        <v>Ira Sjostrom</v>
      </c>
      <c r="C278" s="15">
        <f>_xlfn.MAXIFS(orders!$B:$B,orders!$C:$C,A278)</f>
        <v>44549</v>
      </c>
      <c r="D278" s="14">
        <f t="shared" si="25"/>
        <v>244</v>
      </c>
      <c r="E278" s="14">
        <f>COUNTIFS(orders!$C:$C,A278)</f>
        <v>2</v>
      </c>
      <c r="F278" s="16">
        <f>SUMIFS(orders!$M:$M,orders!$C:$C,A278)</f>
        <v>80.67</v>
      </c>
      <c r="G278" s="14" t="str">
        <f>INDEX(orders!$P:$P,MATCH(A278,orders!$C:$C,0))</f>
        <v>No</v>
      </c>
      <c r="H278" s="17">
        <f t="shared" si="26"/>
        <v>5</v>
      </c>
      <c r="I278" s="14">
        <f t="shared" si="27"/>
        <v>3</v>
      </c>
      <c r="J278">
        <f t="shared" si="28"/>
        <v>5</v>
      </c>
      <c r="K278" s="14">
        <f t="shared" si="29"/>
        <v>13</v>
      </c>
      <c r="L278" t="str">
        <f t="shared" si="30"/>
        <v>Loyal Repeat Customers</v>
      </c>
    </row>
    <row r="279" spans="1:12" x14ac:dyDescent="0.3">
      <c r="A279" s="12" t="s">
        <v>2628</v>
      </c>
      <c r="B279" s="14" t="str">
        <f>INDEX(orders!$F:$F,MATCH(A279,orders!$C:$C,0))</f>
        <v>Ashbey Tomaszewski</v>
      </c>
      <c r="C279" s="15">
        <f>_xlfn.MAXIFS(orders!$B:$B,orders!$C:$C,A279)</f>
        <v>43690</v>
      </c>
      <c r="D279" s="14">
        <f t="shared" si="25"/>
        <v>1103</v>
      </c>
      <c r="E279" s="14">
        <f>COUNTIFS(orders!$C:$C,A279)</f>
        <v>1</v>
      </c>
      <c r="F279" s="16">
        <f>SUMIFS(orders!$M:$M,orders!$C:$C,A279)</f>
        <v>43.019999999999996</v>
      </c>
      <c r="G279" s="14" t="str">
        <f>INDEX(orders!$P:$P,MATCH(A279,orders!$C:$C,0))</f>
        <v>Yes</v>
      </c>
      <c r="H279" s="17">
        <f t="shared" si="26"/>
        <v>1</v>
      </c>
      <c r="I279" s="14">
        <f t="shared" si="27"/>
        <v>1</v>
      </c>
      <c r="J279">
        <f t="shared" si="28"/>
        <v>4</v>
      </c>
      <c r="K279" s="14">
        <f t="shared" si="29"/>
        <v>6</v>
      </c>
      <c r="L279" t="str">
        <f t="shared" si="30"/>
        <v>Lapsed One-Time Buyers</v>
      </c>
    </row>
    <row r="280" spans="1:12" x14ac:dyDescent="0.3">
      <c r="A280" s="12" t="s">
        <v>4180</v>
      </c>
      <c r="B280" s="14" t="str">
        <f>INDEX(orders!$F:$F,MATCH(A280,orders!$C:$C,0))</f>
        <v>Almeria Burgett</v>
      </c>
      <c r="C280" s="15">
        <f>_xlfn.MAXIFS(orders!$B:$B,orders!$C:$C,A280)</f>
        <v>44375</v>
      </c>
      <c r="D280" s="14">
        <f t="shared" si="25"/>
        <v>418</v>
      </c>
      <c r="E280" s="14">
        <f>COUNTIFS(orders!$C:$C,A280)</f>
        <v>1</v>
      </c>
      <c r="F280" s="16">
        <f>SUMIFS(orders!$M:$M,orders!$C:$C,A280)</f>
        <v>103.49999999999999</v>
      </c>
      <c r="G280" s="14" t="str">
        <f>INDEX(orders!$P:$P,MATCH(A280,orders!$C:$C,0))</f>
        <v>No</v>
      </c>
      <c r="H280" s="17">
        <f t="shared" si="26"/>
        <v>4</v>
      </c>
      <c r="I280" s="14">
        <f t="shared" si="27"/>
        <v>1</v>
      </c>
      <c r="J280">
        <f t="shared" si="28"/>
        <v>5</v>
      </c>
      <c r="K280" s="14">
        <f t="shared" si="29"/>
        <v>10</v>
      </c>
      <c r="L280" t="str">
        <f t="shared" si="30"/>
        <v>Recent High-Value (One-Time)</v>
      </c>
    </row>
    <row r="281" spans="1:12" x14ac:dyDescent="0.3">
      <c r="A281" s="12" t="s">
        <v>966</v>
      </c>
      <c r="B281" s="14" t="str">
        <f>INDEX(orders!$F:$F,MATCH(A281,orders!$C:$C,0))</f>
        <v>Zaccaria Sherewood</v>
      </c>
      <c r="C281" s="15">
        <f>_xlfn.MAXIFS(orders!$B:$B,orders!$C:$C,A281)</f>
        <v>43783</v>
      </c>
      <c r="D281" s="14">
        <f t="shared" si="25"/>
        <v>1010</v>
      </c>
      <c r="E281" s="14">
        <f>COUNTIFS(orders!$C:$C,A281)</f>
        <v>1</v>
      </c>
      <c r="F281" s="16">
        <f>SUMIFS(orders!$M:$M,orders!$C:$C,A281)</f>
        <v>9.51</v>
      </c>
      <c r="G281" s="14" t="str">
        <f>INDEX(orders!$P:$P,MATCH(A281,orders!$C:$C,0))</f>
        <v>No</v>
      </c>
      <c r="H281" s="17">
        <f t="shared" si="26"/>
        <v>2</v>
      </c>
      <c r="I281" s="14">
        <f t="shared" si="27"/>
        <v>1</v>
      </c>
      <c r="J281">
        <f t="shared" si="28"/>
        <v>1</v>
      </c>
      <c r="K281" s="14">
        <f t="shared" si="29"/>
        <v>4</v>
      </c>
      <c r="L281" t="str">
        <f t="shared" si="30"/>
        <v>Lapsed One-Time Buyers</v>
      </c>
    </row>
    <row r="282" spans="1:12" x14ac:dyDescent="0.3">
      <c r="A282" s="12" t="s">
        <v>1002</v>
      </c>
      <c r="B282" s="14" t="str">
        <f>INDEX(orders!$F:$F,MATCH(A282,orders!$C:$C,0))</f>
        <v>Adham Greenhead</v>
      </c>
      <c r="C282" s="15">
        <f>_xlfn.MAXIFS(orders!$B:$B,orders!$C:$C,A282)</f>
        <v>44137</v>
      </c>
      <c r="D282" s="14">
        <f t="shared" si="25"/>
        <v>656</v>
      </c>
      <c r="E282" s="14">
        <f>COUNTIFS(orders!$C:$C,A282)</f>
        <v>1</v>
      </c>
      <c r="F282" s="16">
        <f>SUMIFS(orders!$M:$M,orders!$C:$C,A282)</f>
        <v>103.49999999999999</v>
      </c>
      <c r="G282" s="14" t="str">
        <f>INDEX(orders!$P:$P,MATCH(A282,orders!$C:$C,0))</f>
        <v>No</v>
      </c>
      <c r="H282" s="17">
        <f t="shared" si="26"/>
        <v>3</v>
      </c>
      <c r="I282" s="14">
        <f t="shared" si="27"/>
        <v>1</v>
      </c>
      <c r="J282">
        <f t="shared" si="28"/>
        <v>5</v>
      </c>
      <c r="K282" s="14">
        <f t="shared" si="29"/>
        <v>9</v>
      </c>
      <c r="L282" t="str">
        <f t="shared" si="30"/>
        <v>Standard One-Time Buyers</v>
      </c>
    </row>
    <row r="283" spans="1:12" x14ac:dyDescent="0.3">
      <c r="A283" s="12" t="s">
        <v>2039</v>
      </c>
      <c r="B283" s="14" t="str">
        <f>INDEX(orders!$F:$F,MATCH(A283,orders!$C:$C,0))</f>
        <v>Donnie Hedlestone</v>
      </c>
      <c r="C283" s="15">
        <f>_xlfn.MAXIFS(orders!$B:$B,orders!$C:$C,A283)</f>
        <v>43985</v>
      </c>
      <c r="D283" s="14">
        <f t="shared" si="25"/>
        <v>808</v>
      </c>
      <c r="E283" s="14">
        <f>COUNTIFS(orders!$C:$C,A283)</f>
        <v>1</v>
      </c>
      <c r="F283" s="16">
        <f>SUMIFS(orders!$M:$M,orders!$C:$C,A283)</f>
        <v>25.874999999999996</v>
      </c>
      <c r="G283" s="14" t="str">
        <f>INDEX(orders!$P:$P,MATCH(A283,orders!$C:$C,0))</f>
        <v>No</v>
      </c>
      <c r="H283" s="17">
        <f t="shared" si="26"/>
        <v>2</v>
      </c>
      <c r="I283" s="14">
        <f t="shared" si="27"/>
        <v>1</v>
      </c>
      <c r="J283">
        <f t="shared" si="28"/>
        <v>3</v>
      </c>
      <c r="K283" s="14">
        <f t="shared" si="29"/>
        <v>6</v>
      </c>
      <c r="L283" t="str">
        <f t="shared" si="30"/>
        <v>Lapsed One-Time Buyers</v>
      </c>
    </row>
    <row r="284" spans="1:12" x14ac:dyDescent="0.3">
      <c r="A284" s="12" t="s">
        <v>3791</v>
      </c>
      <c r="B284" s="14" t="str">
        <f>INDEX(orders!$F:$F,MATCH(A284,orders!$C:$C,0))</f>
        <v>Rickey Readie</v>
      </c>
      <c r="C284" s="15">
        <f>_xlfn.MAXIFS(orders!$B:$B,orders!$C:$C,A284)</f>
        <v>44262</v>
      </c>
      <c r="D284" s="14">
        <f t="shared" si="25"/>
        <v>531</v>
      </c>
      <c r="E284" s="14">
        <f>COUNTIFS(orders!$C:$C,A284)</f>
        <v>1</v>
      </c>
      <c r="F284" s="16">
        <f>SUMIFS(orders!$M:$M,orders!$C:$C,A284)</f>
        <v>21.509999999999998</v>
      </c>
      <c r="G284" s="14" t="str">
        <f>INDEX(orders!$P:$P,MATCH(A284,orders!$C:$C,0))</f>
        <v>No</v>
      </c>
      <c r="H284" s="17">
        <f t="shared" si="26"/>
        <v>3</v>
      </c>
      <c r="I284" s="14">
        <f t="shared" si="27"/>
        <v>1</v>
      </c>
      <c r="J284">
        <f t="shared" si="28"/>
        <v>2</v>
      </c>
      <c r="K284" s="14">
        <f t="shared" si="29"/>
        <v>6</v>
      </c>
      <c r="L284" t="str">
        <f t="shared" si="30"/>
        <v>Standard One-Time Buyers</v>
      </c>
    </row>
    <row r="285" spans="1:12" x14ac:dyDescent="0.3">
      <c r="A285" s="12" t="s">
        <v>4899</v>
      </c>
      <c r="B285" s="14" t="str">
        <f>INDEX(orders!$F:$F,MATCH(A285,orders!$C:$C,0))</f>
        <v>Verne Dunkerley</v>
      </c>
      <c r="C285" s="15">
        <f>_xlfn.MAXIFS(orders!$B:$B,orders!$C:$C,A285)</f>
        <v>43883</v>
      </c>
      <c r="D285" s="14">
        <f t="shared" si="25"/>
        <v>910</v>
      </c>
      <c r="E285" s="14">
        <f>COUNTIFS(orders!$C:$C,A285)</f>
        <v>1</v>
      </c>
      <c r="F285" s="16">
        <f>SUMIFS(orders!$M:$M,orders!$C:$C,A285)</f>
        <v>41.25</v>
      </c>
      <c r="G285" s="14" t="str">
        <f>INDEX(orders!$P:$P,MATCH(A285,orders!$C:$C,0))</f>
        <v>No</v>
      </c>
      <c r="H285" s="17">
        <f t="shared" si="26"/>
        <v>2</v>
      </c>
      <c r="I285" s="14">
        <f t="shared" si="27"/>
        <v>1</v>
      </c>
      <c r="J285">
        <f t="shared" si="28"/>
        <v>3</v>
      </c>
      <c r="K285" s="14">
        <f t="shared" si="29"/>
        <v>6</v>
      </c>
      <c r="L285" t="str">
        <f t="shared" si="30"/>
        <v>Lapsed One-Time Buyers</v>
      </c>
    </row>
    <row r="286" spans="1:12" x14ac:dyDescent="0.3">
      <c r="A286" s="12" t="s">
        <v>972</v>
      </c>
      <c r="B286" s="14" t="str">
        <f>INDEX(orders!$F:$F,MATCH(A286,orders!$C:$C,0))</f>
        <v>Jeffrey Dufaire</v>
      </c>
      <c r="C286" s="15">
        <f>_xlfn.MAXIFS(orders!$B:$B,orders!$C:$C,A286)</f>
        <v>43664</v>
      </c>
      <c r="D286" s="14">
        <f t="shared" si="25"/>
        <v>1129</v>
      </c>
      <c r="E286" s="14">
        <f>COUNTIFS(orders!$C:$C,A286)</f>
        <v>2</v>
      </c>
      <c r="F286" s="16">
        <f>SUMIFS(orders!$M:$M,orders!$C:$C,A286)</f>
        <v>101.29499999999999</v>
      </c>
      <c r="G286" s="14" t="str">
        <f>INDEX(orders!$P:$P,MATCH(A286,orders!$C:$C,0))</f>
        <v>No</v>
      </c>
      <c r="H286" s="17">
        <f t="shared" si="26"/>
        <v>1</v>
      </c>
      <c r="I286" s="14">
        <f t="shared" si="27"/>
        <v>3</v>
      </c>
      <c r="J286">
        <f t="shared" si="28"/>
        <v>5</v>
      </c>
      <c r="K286" s="14">
        <f t="shared" si="29"/>
        <v>9</v>
      </c>
      <c r="L286" t="str">
        <f t="shared" si="30"/>
        <v>At-Risk Repeat Customers</v>
      </c>
    </row>
    <row r="287" spans="1:12" x14ac:dyDescent="0.3">
      <c r="A287" s="12" t="s">
        <v>2550</v>
      </c>
      <c r="B287" s="14" t="str">
        <f>INDEX(orders!$F:$F,MATCH(A287,orders!$C:$C,0))</f>
        <v>Casi Gwinnett</v>
      </c>
      <c r="C287" s="15">
        <f>_xlfn.MAXIFS(orders!$B:$B,orders!$C:$C,A287)</f>
        <v>44464</v>
      </c>
      <c r="D287" s="14">
        <f t="shared" si="25"/>
        <v>329</v>
      </c>
      <c r="E287" s="14">
        <f>COUNTIFS(orders!$C:$C,A287)</f>
        <v>1</v>
      </c>
      <c r="F287" s="16">
        <f>SUMIFS(orders!$M:$M,orders!$C:$C,A287)</f>
        <v>7.77</v>
      </c>
      <c r="G287" s="14" t="str">
        <f>INDEX(orders!$P:$P,MATCH(A287,orders!$C:$C,0))</f>
        <v>No</v>
      </c>
      <c r="H287" s="17">
        <f t="shared" si="26"/>
        <v>4</v>
      </c>
      <c r="I287" s="14">
        <f t="shared" si="27"/>
        <v>1</v>
      </c>
      <c r="J287">
        <f t="shared" si="28"/>
        <v>1</v>
      </c>
      <c r="K287" s="14">
        <f t="shared" si="29"/>
        <v>6</v>
      </c>
      <c r="L287" t="str">
        <f t="shared" si="30"/>
        <v>Standard One-Time Buyers</v>
      </c>
    </row>
    <row r="288" spans="1:12" x14ac:dyDescent="0.3">
      <c r="A288" s="12" t="s">
        <v>5845</v>
      </c>
      <c r="B288" s="14" t="str">
        <f>INDEX(orders!$F:$F,MATCH(A288,orders!$C:$C,0))</f>
        <v>Rickie Faltin</v>
      </c>
      <c r="C288" s="15">
        <f>_xlfn.MAXIFS(orders!$B:$B,orders!$C:$C,A288)</f>
        <v>44294</v>
      </c>
      <c r="D288" s="14">
        <f t="shared" si="25"/>
        <v>499</v>
      </c>
      <c r="E288" s="14">
        <f>COUNTIFS(orders!$C:$C,A288)</f>
        <v>1</v>
      </c>
      <c r="F288" s="16">
        <f>SUMIFS(orders!$M:$M,orders!$C:$C,A288)</f>
        <v>11.25</v>
      </c>
      <c r="G288" s="14" t="str">
        <f>INDEX(orders!$P:$P,MATCH(A288,orders!$C:$C,0))</f>
        <v>No</v>
      </c>
      <c r="H288" s="17">
        <f t="shared" si="26"/>
        <v>4</v>
      </c>
      <c r="I288" s="14">
        <f t="shared" si="27"/>
        <v>1</v>
      </c>
      <c r="J288">
        <f t="shared" si="28"/>
        <v>1</v>
      </c>
      <c r="K288" s="14">
        <f t="shared" si="29"/>
        <v>6</v>
      </c>
      <c r="L288" t="str">
        <f t="shared" si="30"/>
        <v>Standard One-Time Buyers</v>
      </c>
    </row>
    <row r="289" spans="1:12" x14ac:dyDescent="0.3">
      <c r="A289" s="12" t="s">
        <v>4916</v>
      </c>
      <c r="B289" s="14" t="str">
        <f>INDEX(orders!$F:$F,MATCH(A289,orders!$C:$C,0))</f>
        <v>Chris Croster</v>
      </c>
      <c r="C289" s="15">
        <f>_xlfn.MAXIFS(orders!$B:$B,orders!$C:$C,A289)</f>
        <v>44312</v>
      </c>
      <c r="D289" s="14">
        <f t="shared" si="25"/>
        <v>481</v>
      </c>
      <c r="E289" s="14">
        <f>COUNTIFS(orders!$C:$C,A289)</f>
        <v>1</v>
      </c>
      <c r="F289" s="16">
        <f>SUMIFS(orders!$M:$M,orders!$C:$C,A289)</f>
        <v>43.650000000000006</v>
      </c>
      <c r="G289" s="14" t="str">
        <f>INDEX(orders!$P:$P,MATCH(A289,orders!$C:$C,0))</f>
        <v>Yes</v>
      </c>
      <c r="H289" s="17">
        <f t="shared" si="26"/>
        <v>4</v>
      </c>
      <c r="I289" s="14">
        <f t="shared" si="27"/>
        <v>1</v>
      </c>
      <c r="J289">
        <f t="shared" si="28"/>
        <v>4</v>
      </c>
      <c r="K289" s="14">
        <f t="shared" si="29"/>
        <v>9</v>
      </c>
      <c r="L289" t="str">
        <f t="shared" si="30"/>
        <v>Recent High-Value (One-Time)</v>
      </c>
    </row>
    <row r="290" spans="1:12" x14ac:dyDescent="0.3">
      <c r="A290" s="12" t="s">
        <v>3543</v>
      </c>
      <c r="B290" s="14" t="str">
        <f>INDEX(orders!$F:$F,MATCH(A290,orders!$C:$C,0))</f>
        <v>Killian Osler</v>
      </c>
      <c r="C290" s="15">
        <f>_xlfn.MAXIFS(orders!$B:$B,orders!$C:$C,A290)</f>
        <v>43584</v>
      </c>
      <c r="D290" s="14">
        <f t="shared" si="25"/>
        <v>1209</v>
      </c>
      <c r="E290" s="14">
        <f>COUNTIFS(orders!$C:$C,A290)</f>
        <v>1</v>
      </c>
      <c r="F290" s="16">
        <f>SUMIFS(orders!$M:$M,orders!$C:$C,A290)</f>
        <v>63.4</v>
      </c>
      <c r="G290" s="14" t="str">
        <f>INDEX(orders!$P:$P,MATCH(A290,orders!$C:$C,0))</f>
        <v>Yes</v>
      </c>
      <c r="H290" s="17">
        <f t="shared" si="26"/>
        <v>1</v>
      </c>
      <c r="I290" s="14">
        <f t="shared" si="27"/>
        <v>1</v>
      </c>
      <c r="J290">
        <f t="shared" si="28"/>
        <v>4</v>
      </c>
      <c r="K290" s="14">
        <f t="shared" si="29"/>
        <v>6</v>
      </c>
      <c r="L290" t="str">
        <f t="shared" si="30"/>
        <v>Lapsed One-Time Buyers</v>
      </c>
    </row>
    <row r="291" spans="1:12" x14ac:dyDescent="0.3">
      <c r="A291" s="12" t="s">
        <v>2598</v>
      </c>
      <c r="B291" s="14" t="str">
        <f>INDEX(orders!$F:$F,MATCH(A291,orders!$C:$C,0))</f>
        <v>Gothart Bamfield</v>
      </c>
      <c r="C291" s="15">
        <f>_xlfn.MAXIFS(orders!$B:$B,orders!$C:$C,A291)</f>
        <v>44125</v>
      </c>
      <c r="D291" s="14">
        <f t="shared" si="25"/>
        <v>668</v>
      </c>
      <c r="E291" s="14">
        <f>COUNTIFS(orders!$C:$C,A291)</f>
        <v>1</v>
      </c>
      <c r="F291" s="16">
        <f>SUMIFS(orders!$M:$M,orders!$C:$C,A291)</f>
        <v>38.04</v>
      </c>
      <c r="G291" s="14" t="str">
        <f>INDEX(orders!$P:$P,MATCH(A291,orders!$C:$C,0))</f>
        <v>Yes</v>
      </c>
      <c r="H291" s="17">
        <f t="shared" si="26"/>
        <v>3</v>
      </c>
      <c r="I291" s="14">
        <f t="shared" si="27"/>
        <v>1</v>
      </c>
      <c r="J291">
        <f t="shared" si="28"/>
        <v>3</v>
      </c>
      <c r="K291" s="14">
        <f t="shared" si="29"/>
        <v>7</v>
      </c>
      <c r="L291" t="str">
        <f t="shared" si="30"/>
        <v>Standard One-Time Buyers</v>
      </c>
    </row>
    <row r="292" spans="1:12" x14ac:dyDescent="0.3">
      <c r="A292" s="12" t="s">
        <v>3538</v>
      </c>
      <c r="B292" s="14" t="str">
        <f>INDEX(orders!$F:$F,MATCH(A292,orders!$C:$C,0))</f>
        <v>Birgit Domange</v>
      </c>
      <c r="C292" s="15">
        <f>_xlfn.MAXIFS(orders!$B:$B,orders!$C:$C,A292)</f>
        <v>44488</v>
      </c>
      <c r="D292" s="14">
        <f t="shared" si="25"/>
        <v>305</v>
      </c>
      <c r="E292" s="14">
        <f>COUNTIFS(orders!$C:$C,A292)</f>
        <v>1</v>
      </c>
      <c r="F292" s="16">
        <f>SUMIFS(orders!$M:$M,orders!$C:$C,A292)</f>
        <v>26.849999999999994</v>
      </c>
      <c r="G292" s="14" t="str">
        <f>INDEX(orders!$P:$P,MATCH(A292,orders!$C:$C,0))</f>
        <v>No</v>
      </c>
      <c r="H292" s="17">
        <f t="shared" si="26"/>
        <v>4</v>
      </c>
      <c r="I292" s="14">
        <f t="shared" si="27"/>
        <v>1</v>
      </c>
      <c r="J292">
        <f t="shared" si="28"/>
        <v>3</v>
      </c>
      <c r="K292" s="14">
        <f t="shared" si="29"/>
        <v>8</v>
      </c>
      <c r="L292" t="str">
        <f t="shared" si="30"/>
        <v>Standard One-Time Buyers</v>
      </c>
    </row>
    <row r="293" spans="1:12" x14ac:dyDescent="0.3">
      <c r="A293" s="12" t="s">
        <v>3729</v>
      </c>
      <c r="B293" s="14" t="str">
        <f>INDEX(orders!$F:$F,MATCH(A293,orders!$C:$C,0))</f>
        <v>Cornie Venour</v>
      </c>
      <c r="C293" s="15">
        <f>_xlfn.MAXIFS(orders!$B:$B,orders!$C:$C,A293)</f>
        <v>43781</v>
      </c>
      <c r="D293" s="14">
        <f t="shared" si="25"/>
        <v>1012</v>
      </c>
      <c r="E293" s="14">
        <f>COUNTIFS(orders!$C:$C,A293)</f>
        <v>1</v>
      </c>
      <c r="F293" s="16">
        <f>SUMIFS(orders!$M:$M,orders!$C:$C,A293)</f>
        <v>67.5</v>
      </c>
      <c r="G293" s="14" t="str">
        <f>INDEX(orders!$P:$P,MATCH(A293,orders!$C:$C,0))</f>
        <v>No</v>
      </c>
      <c r="H293" s="17">
        <f t="shared" si="26"/>
        <v>2</v>
      </c>
      <c r="I293" s="14">
        <f t="shared" si="27"/>
        <v>1</v>
      </c>
      <c r="J293">
        <f t="shared" si="28"/>
        <v>4</v>
      </c>
      <c r="K293" s="14">
        <f t="shared" si="29"/>
        <v>7</v>
      </c>
      <c r="L293" t="str">
        <f t="shared" si="30"/>
        <v>Lapsed One-Time Buyers</v>
      </c>
    </row>
    <row r="294" spans="1:12" x14ac:dyDescent="0.3">
      <c r="A294" s="12" t="s">
        <v>5322</v>
      </c>
      <c r="B294" s="14" t="str">
        <f>INDEX(orders!$F:$F,MATCH(A294,orders!$C:$C,0))</f>
        <v>Devan Crownshaw</v>
      </c>
      <c r="C294" s="15">
        <f>_xlfn.MAXIFS(orders!$B:$B,orders!$C:$C,A294)</f>
        <v>43632</v>
      </c>
      <c r="D294" s="14">
        <f t="shared" si="25"/>
        <v>1161</v>
      </c>
      <c r="E294" s="14">
        <f>COUNTIFS(orders!$C:$C,A294)</f>
        <v>1</v>
      </c>
      <c r="F294" s="16">
        <f>SUMIFS(orders!$M:$M,orders!$C:$C,A294)</f>
        <v>89.35499999999999</v>
      </c>
      <c r="G294" s="14" t="str">
        <f>INDEX(orders!$P:$P,MATCH(A294,orders!$C:$C,0))</f>
        <v>No</v>
      </c>
      <c r="H294" s="17">
        <f t="shared" si="26"/>
        <v>1</v>
      </c>
      <c r="I294" s="14">
        <f t="shared" si="27"/>
        <v>1</v>
      </c>
      <c r="J294">
        <f t="shared" si="28"/>
        <v>5</v>
      </c>
      <c r="K294" s="14">
        <f t="shared" si="29"/>
        <v>7</v>
      </c>
      <c r="L294" t="str">
        <f t="shared" si="30"/>
        <v>Lapsed One-Time Buyers</v>
      </c>
    </row>
    <row r="295" spans="1:12" x14ac:dyDescent="0.3">
      <c r="A295" s="12" t="s">
        <v>1819</v>
      </c>
      <c r="B295" s="14" t="str">
        <f>INDEX(orders!$F:$F,MATCH(A295,orders!$C:$C,0))</f>
        <v>Samuele Ales0</v>
      </c>
      <c r="C295" s="15">
        <f>_xlfn.MAXIFS(orders!$B:$B,orders!$C:$C,A295)</f>
        <v>43571</v>
      </c>
      <c r="D295" s="14">
        <f t="shared" si="25"/>
        <v>1222</v>
      </c>
      <c r="E295" s="14">
        <f>COUNTIFS(orders!$C:$C,A295)</f>
        <v>1</v>
      </c>
      <c r="F295" s="16">
        <f>SUMIFS(orders!$M:$M,orders!$C:$C,A295)</f>
        <v>182.27499999999998</v>
      </c>
      <c r="G295" s="14" t="str">
        <f>INDEX(orders!$P:$P,MATCH(A295,orders!$C:$C,0))</f>
        <v>No</v>
      </c>
      <c r="H295" s="17">
        <f t="shared" si="26"/>
        <v>1</v>
      </c>
      <c r="I295" s="14">
        <f t="shared" si="27"/>
        <v>1</v>
      </c>
      <c r="J295">
        <f t="shared" si="28"/>
        <v>5</v>
      </c>
      <c r="K295" s="14">
        <f t="shared" si="29"/>
        <v>7</v>
      </c>
      <c r="L295" t="str">
        <f t="shared" si="30"/>
        <v>Lapsed One-Time Buyers</v>
      </c>
    </row>
    <row r="296" spans="1:12" x14ac:dyDescent="0.3">
      <c r="A296" s="12" t="s">
        <v>1970</v>
      </c>
      <c r="B296" s="14" t="str">
        <f>INDEX(orders!$F:$F,MATCH(A296,orders!$C:$C,0))</f>
        <v>Javier Kopke</v>
      </c>
      <c r="C296" s="15">
        <f>_xlfn.MAXIFS(orders!$B:$B,orders!$C:$C,A296)</f>
        <v>43693</v>
      </c>
      <c r="D296" s="14">
        <f t="shared" si="25"/>
        <v>1100</v>
      </c>
      <c r="E296" s="14">
        <f>COUNTIFS(orders!$C:$C,A296)</f>
        <v>1</v>
      </c>
      <c r="F296" s="16">
        <f>SUMIFS(orders!$M:$M,orders!$C:$C,A296)</f>
        <v>41.25</v>
      </c>
      <c r="G296" s="14" t="str">
        <f>INDEX(orders!$P:$P,MATCH(A296,orders!$C:$C,0))</f>
        <v>No</v>
      </c>
      <c r="H296" s="17">
        <f t="shared" si="26"/>
        <v>1</v>
      </c>
      <c r="I296" s="14">
        <f t="shared" si="27"/>
        <v>1</v>
      </c>
      <c r="J296">
        <f t="shared" si="28"/>
        <v>3</v>
      </c>
      <c r="K296" s="14">
        <f t="shared" si="29"/>
        <v>5</v>
      </c>
      <c r="L296" t="str">
        <f t="shared" si="30"/>
        <v>Lapsed One-Time Buyers</v>
      </c>
    </row>
    <row r="297" spans="1:12" x14ac:dyDescent="0.3">
      <c r="A297" s="12" t="s">
        <v>2544</v>
      </c>
      <c r="B297" s="14" t="str">
        <f>INDEX(orders!$F:$F,MATCH(A297,orders!$C:$C,0))</f>
        <v>Parker Tofful</v>
      </c>
      <c r="C297" s="15">
        <f>_xlfn.MAXIFS(orders!$B:$B,orders!$C:$C,A297)</f>
        <v>43582</v>
      </c>
      <c r="D297" s="14">
        <f t="shared" si="25"/>
        <v>1211</v>
      </c>
      <c r="E297" s="14">
        <f>COUNTIFS(orders!$C:$C,A297)</f>
        <v>1</v>
      </c>
      <c r="F297" s="16">
        <f>SUMIFS(orders!$M:$M,orders!$C:$C,A297)</f>
        <v>72.900000000000006</v>
      </c>
      <c r="G297" s="14" t="str">
        <f>INDEX(orders!$P:$P,MATCH(A297,orders!$C:$C,0))</f>
        <v>Yes</v>
      </c>
      <c r="H297" s="17">
        <f t="shared" si="26"/>
        <v>1</v>
      </c>
      <c r="I297" s="14">
        <f t="shared" si="27"/>
        <v>1</v>
      </c>
      <c r="J297">
        <f t="shared" si="28"/>
        <v>4</v>
      </c>
      <c r="K297" s="14">
        <f t="shared" si="29"/>
        <v>6</v>
      </c>
      <c r="L297" t="str">
        <f t="shared" si="30"/>
        <v>Lapsed One-Time Buyers</v>
      </c>
    </row>
    <row r="298" spans="1:12" x14ac:dyDescent="0.3">
      <c r="A298" s="12" t="s">
        <v>2900</v>
      </c>
      <c r="B298" s="14" t="str">
        <f>INDEX(orders!$F:$F,MATCH(A298,orders!$C:$C,0))</f>
        <v>Minetta Ackrill</v>
      </c>
      <c r="C298" s="15">
        <f>_xlfn.MAXIFS(orders!$B:$B,orders!$C:$C,A298)</f>
        <v>43759</v>
      </c>
      <c r="D298" s="14">
        <f t="shared" si="25"/>
        <v>1034</v>
      </c>
      <c r="E298" s="14">
        <f>COUNTIFS(orders!$C:$C,A298)</f>
        <v>1</v>
      </c>
      <c r="F298" s="16">
        <f>SUMIFS(orders!$M:$M,orders!$C:$C,A298)</f>
        <v>59.75</v>
      </c>
      <c r="G298" s="14" t="str">
        <f>INDEX(orders!$P:$P,MATCH(A298,orders!$C:$C,0))</f>
        <v>No</v>
      </c>
      <c r="H298" s="17">
        <f t="shared" si="26"/>
        <v>2</v>
      </c>
      <c r="I298" s="14">
        <f t="shared" si="27"/>
        <v>1</v>
      </c>
      <c r="J298">
        <f t="shared" si="28"/>
        <v>4</v>
      </c>
      <c r="K298" s="14">
        <f t="shared" si="29"/>
        <v>7</v>
      </c>
      <c r="L298" t="str">
        <f t="shared" si="30"/>
        <v>Lapsed One-Time Buyers</v>
      </c>
    </row>
    <row r="299" spans="1:12" x14ac:dyDescent="0.3">
      <c r="A299" s="12" t="s">
        <v>1556</v>
      </c>
      <c r="B299" s="14" t="str">
        <f>INDEX(orders!$F:$F,MATCH(A299,orders!$C:$C,0))</f>
        <v>Burnard Bartholin</v>
      </c>
      <c r="C299" s="15">
        <f>_xlfn.MAXIFS(orders!$B:$B,orders!$C:$C,A299)</f>
        <v>43813</v>
      </c>
      <c r="D299" s="14">
        <f t="shared" si="25"/>
        <v>980</v>
      </c>
      <c r="E299" s="14">
        <f>COUNTIFS(orders!$C:$C,A299)</f>
        <v>1</v>
      </c>
      <c r="F299" s="16">
        <f>SUMIFS(orders!$M:$M,orders!$C:$C,A299)</f>
        <v>43.650000000000006</v>
      </c>
      <c r="G299" s="14" t="str">
        <f>INDEX(orders!$P:$P,MATCH(A299,orders!$C:$C,0))</f>
        <v>Yes</v>
      </c>
      <c r="H299" s="17">
        <f t="shared" si="26"/>
        <v>2</v>
      </c>
      <c r="I299" s="14">
        <f t="shared" si="27"/>
        <v>1</v>
      </c>
      <c r="J299">
        <f t="shared" si="28"/>
        <v>4</v>
      </c>
      <c r="K299" s="14">
        <f t="shared" si="29"/>
        <v>7</v>
      </c>
      <c r="L299" t="str">
        <f t="shared" si="30"/>
        <v>Lapsed One-Time Buyers</v>
      </c>
    </row>
    <row r="300" spans="1:12" x14ac:dyDescent="0.3">
      <c r="A300" s="12" t="s">
        <v>4263</v>
      </c>
      <c r="B300" s="14" t="str">
        <f>INDEX(orders!$F:$F,MATCH(A300,orders!$C:$C,0))</f>
        <v>Janella Millett</v>
      </c>
      <c r="C300" s="15">
        <f>_xlfn.MAXIFS(orders!$B:$B,orders!$C:$C,A300)</f>
        <v>44636</v>
      </c>
      <c r="D300" s="14">
        <f t="shared" si="25"/>
        <v>157</v>
      </c>
      <c r="E300" s="14">
        <f>COUNTIFS(orders!$C:$C,A300)</f>
        <v>2</v>
      </c>
      <c r="F300" s="16">
        <f>SUMIFS(orders!$M:$M,orders!$C:$C,A300)</f>
        <v>162.17499999999998</v>
      </c>
      <c r="G300" s="14" t="str">
        <f>INDEX(orders!$P:$P,MATCH(A300,orders!$C:$C,0))</f>
        <v>Yes</v>
      </c>
      <c r="H300" s="17">
        <f t="shared" si="26"/>
        <v>5</v>
      </c>
      <c r="I300" s="14">
        <f t="shared" si="27"/>
        <v>3</v>
      </c>
      <c r="J300">
        <f t="shared" si="28"/>
        <v>5</v>
      </c>
      <c r="K300" s="14">
        <f t="shared" si="29"/>
        <v>13</v>
      </c>
      <c r="L300" t="str">
        <f t="shared" si="30"/>
        <v>Loyal Repeat Customers</v>
      </c>
    </row>
    <row r="301" spans="1:12" x14ac:dyDescent="0.3">
      <c r="A301" s="12" t="s">
        <v>5422</v>
      </c>
      <c r="B301" s="14" t="str">
        <f>INDEX(orders!$F:$F,MATCH(A301,orders!$C:$C,0))</f>
        <v>Claudie Weond</v>
      </c>
      <c r="C301" s="15">
        <f>_xlfn.MAXIFS(orders!$B:$B,orders!$C:$C,A301)</f>
        <v>43521</v>
      </c>
      <c r="D301" s="14">
        <f t="shared" si="25"/>
        <v>1272</v>
      </c>
      <c r="E301" s="14">
        <f>COUNTIFS(orders!$C:$C,A301)</f>
        <v>1</v>
      </c>
      <c r="F301" s="16">
        <f>SUMIFS(orders!$M:$M,orders!$C:$C,A301)</f>
        <v>22.5</v>
      </c>
      <c r="G301" s="14" t="str">
        <f>INDEX(orders!$P:$P,MATCH(A301,orders!$C:$C,0))</f>
        <v>No</v>
      </c>
      <c r="H301" s="17">
        <f t="shared" si="26"/>
        <v>1</v>
      </c>
      <c r="I301" s="14">
        <f t="shared" si="27"/>
        <v>1</v>
      </c>
      <c r="J301">
        <f t="shared" si="28"/>
        <v>2</v>
      </c>
      <c r="K301" s="14">
        <f t="shared" si="29"/>
        <v>4</v>
      </c>
      <c r="L301" t="str">
        <f t="shared" si="30"/>
        <v>Lapsed One-Time Buyers</v>
      </c>
    </row>
    <row r="302" spans="1:12" x14ac:dyDescent="0.3">
      <c r="A302" s="12" t="s">
        <v>1829</v>
      </c>
      <c r="B302" s="14" t="str">
        <f>INDEX(orders!$F:$F,MATCH(A302,orders!$C:$C,0))</f>
        <v>Craggy Bril</v>
      </c>
      <c r="C302" s="15">
        <f>_xlfn.MAXIFS(orders!$B:$B,orders!$C:$C,A302)</f>
        <v>44563</v>
      </c>
      <c r="D302" s="14">
        <f t="shared" si="25"/>
        <v>230</v>
      </c>
      <c r="E302" s="14">
        <f>COUNTIFS(orders!$C:$C,A302)</f>
        <v>1</v>
      </c>
      <c r="F302" s="16">
        <f>SUMIFS(orders!$M:$M,orders!$C:$C,A302)</f>
        <v>3.5849999999999995</v>
      </c>
      <c r="G302" s="14" t="str">
        <f>INDEX(orders!$P:$P,MATCH(A302,orders!$C:$C,0))</f>
        <v>Yes</v>
      </c>
      <c r="H302" s="17">
        <f t="shared" si="26"/>
        <v>5</v>
      </c>
      <c r="I302" s="14">
        <f t="shared" si="27"/>
        <v>1</v>
      </c>
      <c r="J302">
        <f t="shared" si="28"/>
        <v>1</v>
      </c>
      <c r="K302" s="14">
        <f t="shared" si="29"/>
        <v>7</v>
      </c>
      <c r="L302" t="str">
        <f t="shared" si="30"/>
        <v>Standard One-Time Buyers</v>
      </c>
    </row>
    <row r="303" spans="1:12" x14ac:dyDescent="0.3">
      <c r="A303" s="12" t="s">
        <v>861</v>
      </c>
      <c r="B303" s="14" t="str">
        <f>INDEX(orders!$F:$F,MATCH(A303,orders!$C:$C,0))</f>
        <v>Belvia Umpleby</v>
      </c>
      <c r="C303" s="15">
        <f>_xlfn.MAXIFS(orders!$B:$B,orders!$C:$C,A303)</f>
        <v>44666</v>
      </c>
      <c r="D303" s="14">
        <f t="shared" si="25"/>
        <v>127</v>
      </c>
      <c r="E303" s="14">
        <f>COUNTIFS(orders!$C:$C,A303)</f>
        <v>1</v>
      </c>
      <c r="F303" s="16">
        <f>SUMIFS(orders!$M:$M,orders!$C:$C,A303)</f>
        <v>7.169999999999999</v>
      </c>
      <c r="G303" s="14" t="str">
        <f>INDEX(orders!$P:$P,MATCH(A303,orders!$C:$C,0))</f>
        <v>Yes</v>
      </c>
      <c r="H303" s="17">
        <f t="shared" si="26"/>
        <v>5</v>
      </c>
      <c r="I303" s="14">
        <f t="shared" si="27"/>
        <v>1</v>
      </c>
      <c r="J303">
        <f t="shared" si="28"/>
        <v>1</v>
      </c>
      <c r="K303" s="14">
        <f t="shared" si="29"/>
        <v>7</v>
      </c>
      <c r="L303" t="str">
        <f t="shared" si="30"/>
        <v>Standard One-Time Buyers</v>
      </c>
    </row>
    <row r="304" spans="1:12" x14ac:dyDescent="0.3">
      <c r="A304" s="12" t="s">
        <v>3255</v>
      </c>
      <c r="B304" s="14" t="str">
        <f>INDEX(orders!$F:$F,MATCH(A304,orders!$C:$C,0))</f>
        <v>Sean Lorenzetti</v>
      </c>
      <c r="C304" s="15">
        <f>_xlfn.MAXIFS(orders!$B:$B,orders!$C:$C,A304)</f>
        <v>43654</v>
      </c>
      <c r="D304" s="14">
        <f t="shared" si="25"/>
        <v>1139</v>
      </c>
      <c r="E304" s="14">
        <f>COUNTIFS(orders!$C:$C,A304)</f>
        <v>1</v>
      </c>
      <c r="F304" s="16">
        <f>SUMIFS(orders!$M:$M,orders!$C:$C,A304)</f>
        <v>95.1</v>
      </c>
      <c r="G304" s="14" t="str">
        <f>INDEX(orders!$P:$P,MATCH(A304,orders!$C:$C,0))</f>
        <v>No</v>
      </c>
      <c r="H304" s="17">
        <f t="shared" si="26"/>
        <v>1</v>
      </c>
      <c r="I304" s="14">
        <f t="shared" si="27"/>
        <v>1</v>
      </c>
      <c r="J304">
        <f t="shared" si="28"/>
        <v>5</v>
      </c>
      <c r="K304" s="14">
        <f t="shared" si="29"/>
        <v>7</v>
      </c>
      <c r="L304" t="str">
        <f t="shared" si="30"/>
        <v>Lapsed One-Time Buyers</v>
      </c>
    </row>
    <row r="305" spans="1:12" x14ac:dyDescent="0.3">
      <c r="A305" s="12" t="s">
        <v>2182</v>
      </c>
      <c r="B305" s="14" t="str">
        <f>INDEX(orders!$F:$F,MATCH(A305,orders!$C:$C,0))</f>
        <v>Arel De Lasci</v>
      </c>
      <c r="C305" s="15">
        <f>_xlfn.MAXIFS(orders!$B:$B,orders!$C:$C,A305)</f>
        <v>44646</v>
      </c>
      <c r="D305" s="14">
        <f t="shared" si="25"/>
        <v>147</v>
      </c>
      <c r="E305" s="14">
        <f>COUNTIFS(orders!$C:$C,A305)</f>
        <v>1</v>
      </c>
      <c r="F305" s="16">
        <f>SUMIFS(orders!$M:$M,orders!$C:$C,A305)</f>
        <v>38.849999999999994</v>
      </c>
      <c r="G305" s="14" t="str">
        <f>INDEX(orders!$P:$P,MATCH(A305,orders!$C:$C,0))</f>
        <v>Yes</v>
      </c>
      <c r="H305" s="17">
        <f t="shared" si="26"/>
        <v>5</v>
      </c>
      <c r="I305" s="14">
        <f t="shared" si="27"/>
        <v>1</v>
      </c>
      <c r="J305">
        <f t="shared" si="28"/>
        <v>3</v>
      </c>
      <c r="K305" s="14">
        <f t="shared" si="29"/>
        <v>9</v>
      </c>
      <c r="L305" t="str">
        <f t="shared" si="30"/>
        <v>Standard One-Time Buyers</v>
      </c>
    </row>
    <row r="306" spans="1:12" x14ac:dyDescent="0.3">
      <c r="A306" s="12" t="s">
        <v>4893</v>
      </c>
      <c r="B306" s="14" t="str">
        <f>INDEX(orders!$F:$F,MATCH(A306,orders!$C:$C,0))</f>
        <v>Ugo Southerden</v>
      </c>
      <c r="C306" s="15">
        <f>_xlfn.MAXIFS(orders!$B:$B,orders!$C:$C,A306)</f>
        <v>43985</v>
      </c>
      <c r="D306" s="14">
        <f t="shared" si="25"/>
        <v>808</v>
      </c>
      <c r="E306" s="14">
        <f>COUNTIFS(orders!$C:$C,A306)</f>
        <v>1</v>
      </c>
      <c r="F306" s="16">
        <f>SUMIFS(orders!$M:$M,orders!$C:$C,A306)</f>
        <v>77.699999999999989</v>
      </c>
      <c r="G306" s="14" t="str">
        <f>INDEX(orders!$P:$P,MATCH(A306,orders!$C:$C,0))</f>
        <v>Yes</v>
      </c>
      <c r="H306" s="17">
        <f t="shared" si="26"/>
        <v>2</v>
      </c>
      <c r="I306" s="14">
        <f t="shared" si="27"/>
        <v>1</v>
      </c>
      <c r="J306">
        <f t="shared" si="28"/>
        <v>4</v>
      </c>
      <c r="K306" s="14">
        <f t="shared" si="29"/>
        <v>7</v>
      </c>
      <c r="L306" t="str">
        <f t="shared" si="30"/>
        <v>Lapsed One-Time Buyers</v>
      </c>
    </row>
    <row r="307" spans="1:12" x14ac:dyDescent="0.3">
      <c r="A307" s="12" t="s">
        <v>5688</v>
      </c>
      <c r="B307" s="14" t="str">
        <f>INDEX(orders!$F:$F,MATCH(A307,orders!$C:$C,0))</f>
        <v>Quintina Heavyside</v>
      </c>
      <c r="C307" s="15">
        <f>_xlfn.MAXIFS(orders!$B:$B,orders!$C:$C,A307)</f>
        <v>44181</v>
      </c>
      <c r="D307" s="14">
        <f t="shared" si="25"/>
        <v>612</v>
      </c>
      <c r="E307" s="14">
        <f>COUNTIFS(orders!$C:$C,A307)</f>
        <v>1</v>
      </c>
      <c r="F307" s="16">
        <f>SUMIFS(orders!$M:$M,orders!$C:$C,A307)</f>
        <v>13.424999999999997</v>
      </c>
      <c r="G307" s="14" t="str">
        <f>INDEX(orders!$P:$P,MATCH(A307,orders!$C:$C,0))</f>
        <v>Yes</v>
      </c>
      <c r="H307" s="17">
        <f t="shared" si="26"/>
        <v>3</v>
      </c>
      <c r="I307" s="14">
        <f t="shared" si="27"/>
        <v>1</v>
      </c>
      <c r="J307">
        <f t="shared" si="28"/>
        <v>1</v>
      </c>
      <c r="K307" s="14">
        <f t="shared" si="29"/>
        <v>5</v>
      </c>
      <c r="L307" t="str">
        <f t="shared" si="30"/>
        <v>Standard One-Time Buyers</v>
      </c>
    </row>
    <row r="308" spans="1:12" x14ac:dyDescent="0.3">
      <c r="A308" s="12" t="s">
        <v>1072</v>
      </c>
      <c r="B308" s="14" t="str">
        <f>INDEX(orders!$F:$F,MATCH(A308,orders!$C:$C,0))</f>
        <v>Emiline Priddis</v>
      </c>
      <c r="C308" s="15">
        <f>_xlfn.MAXIFS(orders!$B:$B,orders!$C:$C,A308)</f>
        <v>43694</v>
      </c>
      <c r="D308" s="14">
        <f t="shared" si="25"/>
        <v>1099</v>
      </c>
      <c r="E308" s="14">
        <f>COUNTIFS(orders!$C:$C,A308)</f>
        <v>1</v>
      </c>
      <c r="F308" s="16">
        <f>SUMIFS(orders!$M:$M,orders!$C:$C,A308)</f>
        <v>87.300000000000011</v>
      </c>
      <c r="G308" s="14" t="str">
        <f>INDEX(orders!$P:$P,MATCH(A308,orders!$C:$C,0))</f>
        <v>No</v>
      </c>
      <c r="H308" s="17">
        <f t="shared" si="26"/>
        <v>1</v>
      </c>
      <c r="I308" s="14">
        <f t="shared" si="27"/>
        <v>1</v>
      </c>
      <c r="J308">
        <f t="shared" si="28"/>
        <v>5</v>
      </c>
      <c r="K308" s="14">
        <f t="shared" si="29"/>
        <v>7</v>
      </c>
      <c r="L308" t="str">
        <f t="shared" si="30"/>
        <v>Lapsed One-Time Buyers</v>
      </c>
    </row>
    <row r="309" spans="1:12" x14ac:dyDescent="0.3">
      <c r="A309" s="12" t="s">
        <v>560</v>
      </c>
      <c r="B309" s="14" t="str">
        <f>INDEX(orders!$F:$F,MATCH(A309,orders!$C:$C,0))</f>
        <v>Rosaleen Scholar</v>
      </c>
      <c r="C309" s="15">
        <f>_xlfn.MAXIFS(orders!$B:$B,orders!$C:$C,A309)</f>
        <v>44744</v>
      </c>
      <c r="D309" s="14">
        <f t="shared" si="25"/>
        <v>49</v>
      </c>
      <c r="E309" s="14">
        <f>COUNTIFS(orders!$C:$C,A309)</f>
        <v>1</v>
      </c>
      <c r="F309" s="16">
        <f>SUMIFS(orders!$M:$M,orders!$C:$C,A309)</f>
        <v>49.75</v>
      </c>
      <c r="G309" s="14" t="str">
        <f>INDEX(orders!$P:$P,MATCH(A309,orders!$C:$C,0))</f>
        <v>No</v>
      </c>
      <c r="H309" s="17">
        <f t="shared" si="26"/>
        <v>5</v>
      </c>
      <c r="I309" s="14">
        <f t="shared" si="27"/>
        <v>1</v>
      </c>
      <c r="J309">
        <f t="shared" si="28"/>
        <v>4</v>
      </c>
      <c r="K309" s="14">
        <f t="shared" si="29"/>
        <v>10</v>
      </c>
      <c r="L309" t="str">
        <f t="shared" si="30"/>
        <v>Recent High-Value (One-Time)</v>
      </c>
    </row>
    <row r="310" spans="1:12" x14ac:dyDescent="0.3">
      <c r="A310" s="12" t="s">
        <v>4462</v>
      </c>
      <c r="B310" s="14" t="str">
        <f>INDEX(orders!$F:$F,MATCH(A310,orders!$C:$C,0))</f>
        <v>Doralin Baison</v>
      </c>
      <c r="C310" s="15">
        <f>_xlfn.MAXIFS(orders!$B:$B,orders!$C:$C,A310)</f>
        <v>43506</v>
      </c>
      <c r="D310" s="14">
        <f t="shared" si="25"/>
        <v>1287</v>
      </c>
      <c r="E310" s="14">
        <f>COUNTIFS(orders!$C:$C,A310)</f>
        <v>1</v>
      </c>
      <c r="F310" s="16">
        <f>SUMIFS(orders!$M:$M,orders!$C:$C,A310)</f>
        <v>119.13999999999999</v>
      </c>
      <c r="G310" s="14" t="str">
        <f>INDEX(orders!$P:$P,MATCH(A310,orders!$C:$C,0))</f>
        <v>Yes</v>
      </c>
      <c r="H310" s="17">
        <f t="shared" si="26"/>
        <v>1</v>
      </c>
      <c r="I310" s="14">
        <f t="shared" si="27"/>
        <v>1</v>
      </c>
      <c r="J310">
        <f t="shared" si="28"/>
        <v>5</v>
      </c>
      <c r="K310" s="14">
        <f t="shared" si="29"/>
        <v>7</v>
      </c>
      <c r="L310" t="str">
        <f t="shared" si="30"/>
        <v>Lapsed One-Time Buyers</v>
      </c>
    </row>
    <row r="311" spans="1:12" x14ac:dyDescent="0.3">
      <c r="A311" s="12" t="s">
        <v>5732</v>
      </c>
      <c r="B311" s="14" t="str">
        <f>INDEX(orders!$F:$F,MATCH(A311,orders!$C:$C,0))</f>
        <v>Dolores Duffie</v>
      </c>
      <c r="C311" s="15">
        <f>_xlfn.MAXIFS(orders!$B:$B,orders!$C:$C,A311)</f>
        <v>43474</v>
      </c>
      <c r="D311" s="14">
        <f t="shared" si="25"/>
        <v>1319</v>
      </c>
      <c r="E311" s="14">
        <f>COUNTIFS(orders!$C:$C,A311)</f>
        <v>1</v>
      </c>
      <c r="F311" s="16">
        <f>SUMIFS(orders!$M:$M,orders!$C:$C,A311)</f>
        <v>111.78</v>
      </c>
      <c r="G311" s="14" t="str">
        <f>INDEX(orders!$P:$P,MATCH(A311,orders!$C:$C,0))</f>
        <v>No</v>
      </c>
      <c r="H311" s="17">
        <f t="shared" si="26"/>
        <v>1</v>
      </c>
      <c r="I311" s="14">
        <f t="shared" si="27"/>
        <v>1</v>
      </c>
      <c r="J311">
        <f t="shared" si="28"/>
        <v>5</v>
      </c>
      <c r="K311" s="14">
        <f t="shared" si="29"/>
        <v>7</v>
      </c>
      <c r="L311" t="str">
        <f t="shared" si="30"/>
        <v>Lapsed One-Time Buyers</v>
      </c>
    </row>
    <row r="312" spans="1:12" x14ac:dyDescent="0.3">
      <c r="A312" s="12" t="s">
        <v>2788</v>
      </c>
      <c r="B312" s="14" t="str">
        <f>INDEX(orders!$F:$F,MATCH(A312,orders!$C:$C,0))</f>
        <v>Lorin Guerrazzi</v>
      </c>
      <c r="C312" s="15">
        <f>_xlfn.MAXIFS(orders!$B:$B,orders!$C:$C,A312)</f>
        <v>44595</v>
      </c>
      <c r="D312" s="14">
        <f t="shared" si="25"/>
        <v>198</v>
      </c>
      <c r="E312" s="14">
        <f>COUNTIFS(orders!$C:$C,A312)</f>
        <v>1</v>
      </c>
      <c r="F312" s="16">
        <f>SUMIFS(orders!$M:$M,orders!$C:$C,A312)</f>
        <v>49.5</v>
      </c>
      <c r="G312" s="14" t="str">
        <f>INDEX(orders!$P:$P,MATCH(A312,orders!$C:$C,0))</f>
        <v>No</v>
      </c>
      <c r="H312" s="17">
        <f t="shared" si="26"/>
        <v>5</v>
      </c>
      <c r="I312" s="14">
        <f t="shared" si="27"/>
        <v>1</v>
      </c>
      <c r="J312">
        <f t="shared" si="28"/>
        <v>4</v>
      </c>
      <c r="K312" s="14">
        <f t="shared" si="29"/>
        <v>10</v>
      </c>
      <c r="L312" t="str">
        <f t="shared" si="30"/>
        <v>Recent High-Value (One-Time)</v>
      </c>
    </row>
    <row r="313" spans="1:12" x14ac:dyDescent="0.3">
      <c r="A313" s="12" t="s">
        <v>5549</v>
      </c>
      <c r="B313" s="14" t="str">
        <f>INDEX(orders!$F:$F,MATCH(A313,orders!$C:$C,0))</f>
        <v>Sharity Wickens</v>
      </c>
      <c r="C313" s="15">
        <f>_xlfn.MAXIFS(orders!$B:$B,orders!$C:$C,A313)</f>
        <v>44016</v>
      </c>
      <c r="D313" s="14">
        <f t="shared" si="25"/>
        <v>777</v>
      </c>
      <c r="E313" s="14">
        <f>COUNTIFS(orders!$C:$C,A313)</f>
        <v>1</v>
      </c>
      <c r="F313" s="16">
        <f>SUMIFS(orders!$M:$M,orders!$C:$C,A313)</f>
        <v>82.339999999999989</v>
      </c>
      <c r="G313" s="14" t="str">
        <f>INDEX(orders!$P:$P,MATCH(A313,orders!$C:$C,0))</f>
        <v>Yes</v>
      </c>
      <c r="H313" s="17">
        <f t="shared" si="26"/>
        <v>2</v>
      </c>
      <c r="I313" s="14">
        <f t="shared" si="27"/>
        <v>1</v>
      </c>
      <c r="J313">
        <f t="shared" si="28"/>
        <v>5</v>
      </c>
      <c r="K313" s="14">
        <f t="shared" si="29"/>
        <v>8</v>
      </c>
      <c r="L313" t="str">
        <f t="shared" si="30"/>
        <v>Lapsed One-Time Buyers</v>
      </c>
    </row>
    <row r="314" spans="1:12" x14ac:dyDescent="0.3">
      <c r="A314" s="12" t="s">
        <v>1959</v>
      </c>
      <c r="B314" s="14" t="str">
        <f>INDEX(orders!$F:$F,MATCH(A314,orders!$C:$C,0))</f>
        <v>Tani Taffarello</v>
      </c>
      <c r="C314" s="15">
        <f>_xlfn.MAXIFS(orders!$B:$B,orders!$C:$C,A314)</f>
        <v>44156</v>
      </c>
      <c r="D314" s="14">
        <f t="shared" si="25"/>
        <v>637</v>
      </c>
      <c r="E314" s="14">
        <f>COUNTIFS(orders!$C:$C,A314)</f>
        <v>1</v>
      </c>
      <c r="F314" s="16">
        <f>SUMIFS(orders!$M:$M,orders!$C:$C,A314)</f>
        <v>27.484999999999996</v>
      </c>
      <c r="G314" s="14" t="str">
        <f>INDEX(orders!$P:$P,MATCH(A314,orders!$C:$C,0))</f>
        <v>Yes</v>
      </c>
      <c r="H314" s="17">
        <f t="shared" si="26"/>
        <v>3</v>
      </c>
      <c r="I314" s="14">
        <f t="shared" si="27"/>
        <v>1</v>
      </c>
      <c r="J314">
        <f t="shared" si="28"/>
        <v>3</v>
      </c>
      <c r="K314" s="14">
        <f t="shared" si="29"/>
        <v>7</v>
      </c>
      <c r="L314" t="str">
        <f t="shared" si="30"/>
        <v>Standard One-Time Buyers</v>
      </c>
    </row>
    <row r="315" spans="1:12" x14ac:dyDescent="0.3">
      <c r="A315" s="12" t="s">
        <v>4129</v>
      </c>
      <c r="B315" s="14" t="str">
        <f>INDEX(orders!$F:$F,MATCH(A315,orders!$C:$C,0))</f>
        <v>Marne Mingey</v>
      </c>
      <c r="C315" s="15">
        <f>_xlfn.MAXIFS(orders!$B:$B,orders!$C:$C,A315)</f>
        <v>44694</v>
      </c>
      <c r="D315" s="14">
        <f t="shared" si="25"/>
        <v>99</v>
      </c>
      <c r="E315" s="14">
        <f>COUNTIFS(orders!$C:$C,A315)</f>
        <v>1</v>
      </c>
      <c r="F315" s="16">
        <f>SUMIFS(orders!$M:$M,orders!$C:$C,A315)</f>
        <v>41.169999999999995</v>
      </c>
      <c r="G315" s="14" t="str">
        <f>INDEX(orders!$P:$P,MATCH(A315,orders!$C:$C,0))</f>
        <v>No</v>
      </c>
      <c r="H315" s="17">
        <f t="shared" si="26"/>
        <v>5</v>
      </c>
      <c r="I315" s="14">
        <f t="shared" si="27"/>
        <v>1</v>
      </c>
      <c r="J315">
        <f t="shared" si="28"/>
        <v>3</v>
      </c>
      <c r="K315" s="14">
        <f t="shared" si="29"/>
        <v>9</v>
      </c>
      <c r="L315" t="str">
        <f t="shared" si="30"/>
        <v>Standard One-Time Buyers</v>
      </c>
    </row>
    <row r="316" spans="1:12" x14ac:dyDescent="0.3">
      <c r="A316" s="12" t="s">
        <v>4517</v>
      </c>
      <c r="B316" s="14" t="str">
        <f>INDEX(orders!$F:$F,MATCH(A316,orders!$C:$C,0))</f>
        <v>Sacha Bruun</v>
      </c>
      <c r="C316" s="15">
        <f>_xlfn.MAXIFS(orders!$B:$B,orders!$C:$C,A316)</f>
        <v>43960</v>
      </c>
      <c r="D316" s="14">
        <f t="shared" si="25"/>
        <v>833</v>
      </c>
      <c r="E316" s="14">
        <f>COUNTIFS(orders!$C:$C,A316)</f>
        <v>1</v>
      </c>
      <c r="F316" s="16">
        <f>SUMIFS(orders!$M:$M,orders!$C:$C,A316)</f>
        <v>2.9849999999999999</v>
      </c>
      <c r="G316" s="14" t="str">
        <f>INDEX(orders!$P:$P,MATCH(A316,orders!$C:$C,0))</f>
        <v>No</v>
      </c>
      <c r="H316" s="17">
        <f t="shared" si="26"/>
        <v>2</v>
      </c>
      <c r="I316" s="14">
        <f t="shared" si="27"/>
        <v>1</v>
      </c>
      <c r="J316">
        <f t="shared" si="28"/>
        <v>1</v>
      </c>
      <c r="K316" s="14">
        <f t="shared" si="29"/>
        <v>4</v>
      </c>
      <c r="L316" t="str">
        <f t="shared" si="30"/>
        <v>Lapsed One-Time Buyers</v>
      </c>
    </row>
    <row r="317" spans="1:12" x14ac:dyDescent="0.3">
      <c r="A317" s="12" t="s">
        <v>5829</v>
      </c>
      <c r="B317" s="14" t="str">
        <f>INDEX(orders!$F:$F,MATCH(A317,orders!$C:$C,0))</f>
        <v>Fanchon Haughian</v>
      </c>
      <c r="C317" s="15">
        <f>_xlfn.MAXIFS(orders!$B:$B,orders!$C:$C,A317)</f>
        <v>44054</v>
      </c>
      <c r="D317" s="14">
        <f t="shared" si="25"/>
        <v>739</v>
      </c>
      <c r="E317" s="14">
        <f>COUNTIFS(orders!$C:$C,A317)</f>
        <v>1</v>
      </c>
      <c r="F317" s="16">
        <f>SUMIFS(orders!$M:$M,orders!$C:$C,A317)</f>
        <v>35.849999999999994</v>
      </c>
      <c r="G317" s="14" t="str">
        <f>INDEX(orders!$P:$P,MATCH(A317,orders!$C:$C,0))</f>
        <v>No</v>
      </c>
      <c r="H317" s="17">
        <f t="shared" si="26"/>
        <v>3</v>
      </c>
      <c r="I317" s="14">
        <f t="shared" si="27"/>
        <v>1</v>
      </c>
      <c r="J317">
        <f t="shared" si="28"/>
        <v>3</v>
      </c>
      <c r="K317" s="14">
        <f t="shared" si="29"/>
        <v>7</v>
      </c>
      <c r="L317" t="str">
        <f t="shared" si="30"/>
        <v>Standard One-Time Buyers</v>
      </c>
    </row>
    <row r="318" spans="1:12" x14ac:dyDescent="0.3">
      <c r="A318" s="12" t="s">
        <v>4094</v>
      </c>
      <c r="B318" s="14" t="str">
        <f>INDEX(orders!$F:$F,MATCH(A318,orders!$C:$C,0))</f>
        <v>Neville Piatto</v>
      </c>
      <c r="C318" s="15">
        <f>_xlfn.MAXIFS(orders!$B:$B,orders!$C:$C,A318)</f>
        <v>43684</v>
      </c>
      <c r="D318" s="14">
        <f t="shared" si="25"/>
        <v>1109</v>
      </c>
      <c r="E318" s="14">
        <f>COUNTIFS(orders!$C:$C,A318)</f>
        <v>1</v>
      </c>
      <c r="F318" s="16">
        <f>SUMIFS(orders!$M:$M,orders!$C:$C,A318)</f>
        <v>77.624999999999986</v>
      </c>
      <c r="G318" s="14" t="str">
        <f>INDEX(orders!$P:$P,MATCH(A318,orders!$C:$C,0))</f>
        <v>Yes</v>
      </c>
      <c r="H318" s="17">
        <f t="shared" si="26"/>
        <v>1</v>
      </c>
      <c r="I318" s="14">
        <f t="shared" si="27"/>
        <v>1</v>
      </c>
      <c r="J318">
        <f t="shared" si="28"/>
        <v>4</v>
      </c>
      <c r="K318" s="14">
        <f t="shared" si="29"/>
        <v>6</v>
      </c>
      <c r="L318" t="str">
        <f t="shared" si="30"/>
        <v>Lapsed One-Time Buyers</v>
      </c>
    </row>
    <row r="319" spans="1:12" x14ac:dyDescent="0.3">
      <c r="A319" s="12" t="s">
        <v>1695</v>
      </c>
      <c r="B319" s="14" t="str">
        <f>INDEX(orders!$F:$F,MATCH(A319,orders!$C:$C,0))</f>
        <v>Murdock Hame</v>
      </c>
      <c r="C319" s="15">
        <f>_xlfn.MAXIFS(orders!$B:$B,orders!$C:$C,A319)</f>
        <v>43775</v>
      </c>
      <c r="D319" s="14">
        <f t="shared" si="25"/>
        <v>1018</v>
      </c>
      <c r="E319" s="14">
        <f>COUNTIFS(orders!$C:$C,A319)</f>
        <v>1</v>
      </c>
      <c r="F319" s="16">
        <f>SUMIFS(orders!$M:$M,orders!$C:$C,A319)</f>
        <v>31.7</v>
      </c>
      <c r="G319" s="14" t="str">
        <f>INDEX(orders!$P:$P,MATCH(A319,orders!$C:$C,0))</f>
        <v>No</v>
      </c>
      <c r="H319" s="17">
        <f t="shared" si="26"/>
        <v>2</v>
      </c>
      <c r="I319" s="14">
        <f t="shared" si="27"/>
        <v>1</v>
      </c>
      <c r="J319">
        <f t="shared" si="28"/>
        <v>3</v>
      </c>
      <c r="K319" s="14">
        <f t="shared" si="29"/>
        <v>6</v>
      </c>
      <c r="L319" t="str">
        <f t="shared" si="30"/>
        <v>Lapsed One-Time Buyers</v>
      </c>
    </row>
    <row r="320" spans="1:12" x14ac:dyDescent="0.3">
      <c r="A320" s="12" t="s">
        <v>4575</v>
      </c>
      <c r="B320" s="14" t="str">
        <f>INDEX(orders!$F:$F,MATCH(A320,orders!$C:$C,0))</f>
        <v>Gay Eilhersen</v>
      </c>
      <c r="C320" s="15">
        <f>_xlfn.MAXIFS(orders!$B:$B,orders!$C:$C,A320)</f>
        <v>44470</v>
      </c>
      <c r="D320" s="14">
        <f t="shared" si="25"/>
        <v>323</v>
      </c>
      <c r="E320" s="14">
        <f>COUNTIFS(orders!$C:$C,A320)</f>
        <v>1</v>
      </c>
      <c r="F320" s="16">
        <f>SUMIFS(orders!$M:$M,orders!$C:$C,A320)</f>
        <v>63.249999999999993</v>
      </c>
      <c r="G320" s="14" t="str">
        <f>INDEX(orders!$P:$P,MATCH(A320,orders!$C:$C,0))</f>
        <v>No</v>
      </c>
      <c r="H320" s="17">
        <f t="shared" si="26"/>
        <v>4</v>
      </c>
      <c r="I320" s="14">
        <f t="shared" si="27"/>
        <v>1</v>
      </c>
      <c r="J320">
        <f t="shared" si="28"/>
        <v>4</v>
      </c>
      <c r="K320" s="14">
        <f t="shared" si="29"/>
        <v>9</v>
      </c>
      <c r="L320" t="str">
        <f t="shared" si="30"/>
        <v>Recent High-Value (One-Time)</v>
      </c>
    </row>
    <row r="321" spans="1:12" x14ac:dyDescent="0.3">
      <c r="A321" s="12" t="s">
        <v>2499</v>
      </c>
      <c r="B321" s="14" t="str">
        <f>INDEX(orders!$F:$F,MATCH(A321,orders!$C:$C,0))</f>
        <v>Willey Romao</v>
      </c>
      <c r="C321" s="15">
        <f>_xlfn.MAXIFS(orders!$B:$B,orders!$C:$C,A321)</f>
        <v>44631</v>
      </c>
      <c r="D321" s="14">
        <f t="shared" si="25"/>
        <v>162</v>
      </c>
      <c r="E321" s="14">
        <f>COUNTIFS(orders!$C:$C,A321)</f>
        <v>1</v>
      </c>
      <c r="F321" s="16">
        <f>SUMIFS(orders!$M:$M,orders!$C:$C,A321)</f>
        <v>51.8</v>
      </c>
      <c r="G321" s="14" t="str">
        <f>INDEX(orders!$P:$P,MATCH(A321,orders!$C:$C,0))</f>
        <v>Yes</v>
      </c>
      <c r="H321" s="17">
        <f t="shared" si="26"/>
        <v>5</v>
      </c>
      <c r="I321" s="14">
        <f t="shared" si="27"/>
        <v>1</v>
      </c>
      <c r="J321">
        <f t="shared" si="28"/>
        <v>4</v>
      </c>
      <c r="K321" s="14">
        <f t="shared" si="29"/>
        <v>10</v>
      </c>
      <c r="L321" t="str">
        <f t="shared" si="30"/>
        <v>Recent High-Value (One-Time)</v>
      </c>
    </row>
    <row r="322" spans="1:12" x14ac:dyDescent="0.3">
      <c r="A322" s="12" t="s">
        <v>5804</v>
      </c>
      <c r="B322" s="14" t="str">
        <f>INDEX(orders!$F:$F,MATCH(A322,orders!$C:$C,0))</f>
        <v>Geoffrey Siuda</v>
      </c>
      <c r="C322" s="15">
        <f>_xlfn.MAXIFS(orders!$B:$B,orders!$C:$C,A322)</f>
        <v>44332</v>
      </c>
      <c r="D322" s="14">
        <f t="shared" si="25"/>
        <v>461</v>
      </c>
      <c r="E322" s="14">
        <f>COUNTIFS(orders!$C:$C,A322)</f>
        <v>1</v>
      </c>
      <c r="F322" s="16">
        <f>SUMIFS(orders!$M:$M,orders!$C:$C,A322)</f>
        <v>14.339999999999998</v>
      </c>
      <c r="G322" s="14" t="str">
        <f>INDEX(orders!$P:$P,MATCH(A322,orders!$C:$C,0))</f>
        <v>Yes</v>
      </c>
      <c r="H322" s="17">
        <f t="shared" si="26"/>
        <v>4</v>
      </c>
      <c r="I322" s="14">
        <f t="shared" si="27"/>
        <v>1</v>
      </c>
      <c r="J322">
        <f t="shared" si="28"/>
        <v>2</v>
      </c>
      <c r="K322" s="14">
        <f t="shared" si="29"/>
        <v>7</v>
      </c>
      <c r="L322" t="str">
        <f t="shared" si="30"/>
        <v>Standard One-Time Buyers</v>
      </c>
    </row>
    <row r="323" spans="1:12" x14ac:dyDescent="0.3">
      <c r="A323" s="12" t="s">
        <v>2430</v>
      </c>
      <c r="B323" s="14" t="str">
        <f>INDEX(orders!$F:$F,MATCH(A323,orders!$C:$C,0))</f>
        <v>Catarina Donn</v>
      </c>
      <c r="C323" s="15">
        <f>_xlfn.MAXIFS(orders!$B:$B,orders!$C:$C,A323)</f>
        <v>44529</v>
      </c>
      <c r="D323" s="14">
        <f t="shared" si="25"/>
        <v>264</v>
      </c>
      <c r="E323" s="14">
        <f>COUNTIFS(orders!$C:$C,A323)</f>
        <v>1</v>
      </c>
      <c r="F323" s="16">
        <f>SUMIFS(orders!$M:$M,orders!$C:$C,A323)</f>
        <v>19.899999999999999</v>
      </c>
      <c r="G323" s="14" t="str">
        <f>INDEX(orders!$P:$P,MATCH(A323,orders!$C:$C,0))</f>
        <v>Yes</v>
      </c>
      <c r="H323" s="17">
        <f t="shared" si="26"/>
        <v>5</v>
      </c>
      <c r="I323" s="14">
        <f t="shared" si="27"/>
        <v>1</v>
      </c>
      <c r="J323">
        <f t="shared" si="28"/>
        <v>2</v>
      </c>
      <c r="K323" s="14">
        <f t="shared" si="29"/>
        <v>8</v>
      </c>
      <c r="L323" t="str">
        <f t="shared" si="30"/>
        <v>Standard One-Time Buyers</v>
      </c>
    </row>
    <row r="324" spans="1:12" x14ac:dyDescent="0.3">
      <c r="A324" s="12" t="s">
        <v>2752</v>
      </c>
      <c r="B324" s="14" t="str">
        <f>INDEX(orders!$F:$F,MATCH(A324,orders!$C:$C,0))</f>
        <v>Rutger Pithcock</v>
      </c>
      <c r="C324" s="15">
        <f>_xlfn.MAXIFS(orders!$B:$B,orders!$C:$C,A324)</f>
        <v>43591</v>
      </c>
      <c r="D324" s="14">
        <f t="shared" si="25"/>
        <v>1202</v>
      </c>
      <c r="E324" s="14">
        <f>COUNTIFS(orders!$C:$C,A324)</f>
        <v>1</v>
      </c>
      <c r="F324" s="16">
        <f>SUMIFS(orders!$M:$M,orders!$C:$C,A324)</f>
        <v>8.73</v>
      </c>
      <c r="G324" s="14" t="str">
        <f>INDEX(orders!$P:$P,MATCH(A324,orders!$C:$C,0))</f>
        <v>Yes</v>
      </c>
      <c r="H324" s="17">
        <f t="shared" si="26"/>
        <v>1</v>
      </c>
      <c r="I324" s="14">
        <f t="shared" si="27"/>
        <v>1</v>
      </c>
      <c r="J324">
        <f t="shared" si="28"/>
        <v>1</v>
      </c>
      <c r="K324" s="14">
        <f t="shared" si="29"/>
        <v>3</v>
      </c>
      <c r="L324" t="str">
        <f t="shared" si="30"/>
        <v>Lapsed One-Time Buyers</v>
      </c>
    </row>
    <row r="325" spans="1:12" x14ac:dyDescent="0.3">
      <c r="A325" s="12" t="s">
        <v>756</v>
      </c>
      <c r="B325" s="14" t="str">
        <f>INDEX(orders!$F:$F,MATCH(A325,orders!$C:$C,0))</f>
        <v>Arda Curley</v>
      </c>
      <c r="C325" s="15">
        <f>_xlfn.MAXIFS(orders!$B:$B,orders!$C:$C,A325)</f>
        <v>43644</v>
      </c>
      <c r="D325" s="14">
        <f t="shared" si="25"/>
        <v>1149</v>
      </c>
      <c r="E325" s="14">
        <f>COUNTIFS(orders!$C:$C,A325)</f>
        <v>1</v>
      </c>
      <c r="F325" s="16">
        <f>SUMIFS(orders!$M:$M,orders!$C:$C,A325)</f>
        <v>7.77</v>
      </c>
      <c r="G325" s="14" t="str">
        <f>INDEX(orders!$P:$P,MATCH(A325,orders!$C:$C,0))</f>
        <v>Yes</v>
      </c>
      <c r="H325" s="17">
        <f t="shared" si="26"/>
        <v>1</v>
      </c>
      <c r="I325" s="14">
        <f t="shared" si="27"/>
        <v>1</v>
      </c>
      <c r="J325">
        <f t="shared" si="28"/>
        <v>1</v>
      </c>
      <c r="K325" s="14">
        <f t="shared" si="29"/>
        <v>3</v>
      </c>
      <c r="L325" t="str">
        <f t="shared" si="30"/>
        <v>Lapsed One-Time Buyers</v>
      </c>
    </row>
    <row r="326" spans="1:12" x14ac:dyDescent="0.3">
      <c r="A326" s="12" t="s">
        <v>5700</v>
      </c>
      <c r="B326" s="14" t="str">
        <f>INDEX(orders!$F:$F,MATCH(A326,orders!$C:$C,0))</f>
        <v>Mitch Attwool</v>
      </c>
      <c r="C326" s="15">
        <f>_xlfn.MAXIFS(orders!$B:$B,orders!$C:$C,A326)</f>
        <v>44509</v>
      </c>
      <c r="D326" s="14">
        <f t="shared" ref="D326:D389" si="31">$B$1-C326</f>
        <v>284</v>
      </c>
      <c r="E326" s="14">
        <f>COUNTIFS(orders!$C:$C,A326)</f>
        <v>1</v>
      </c>
      <c r="F326" s="16">
        <f>SUMIFS(orders!$M:$M,orders!$C:$C,A326)</f>
        <v>7.77</v>
      </c>
      <c r="G326" s="14" t="str">
        <f>INDEX(orders!$P:$P,MATCH(A326,orders!$C:$C,0))</f>
        <v>No</v>
      </c>
      <c r="H326" s="17">
        <f t="shared" ref="H326:H389" si="32">IF(D326&lt;=$E$1,5,IF(D326&lt;=$F$1,4,IF(D326&lt;=$G$1,3,IF(D326&lt;=$H$1,2,1))))</f>
        <v>4</v>
      </c>
      <c r="I326" s="14">
        <f t="shared" ref="I326:I389" si="33">IF(E326&lt;=1,1,IF(E326&lt;=2,3,5))</f>
        <v>1</v>
      </c>
      <c r="J326">
        <f t="shared" ref="J326:J389" si="34">IF(F326&lt;=PERCENTILE($F$5:$F$917,0.2),1,IF(F326&lt;=PERCENTILE($F$5:$F$917,0.4),2,IF(F326&lt;=PERCENTILE($F$5:$F$917,0.6),3,IF(F326&lt;=PERCENTILE($F$5:$F$917,0.8),4,5))))</f>
        <v>1</v>
      </c>
      <c r="K326" s="14">
        <f t="shared" ref="K326:K389" si="35">H326+I326+J326</f>
        <v>6</v>
      </c>
      <c r="L326" t="str">
        <f t="shared" ref="L326:L389" si="36">IF(AND(E326&gt;=2,H326&gt;=4),"Loyal Repeat Customers",IF(E326&gt;=2,"At-Risk Repeat Customers",IF(AND(H326&gt;=4,J326&gt;=4),"Recent High-Value (One-Time)",IF(H326&lt;=2,"Lapsed One-Time Buyers","Standard One-Time Buyers"))))</f>
        <v>Standard One-Time Buyers</v>
      </c>
    </row>
    <row r="327" spans="1:12" x14ac:dyDescent="0.3">
      <c r="A327" s="12" t="s">
        <v>4683</v>
      </c>
      <c r="B327" s="14" t="str">
        <f>INDEX(orders!$F:$F,MATCH(A327,orders!$C:$C,0))</f>
        <v>Reese Lidgey</v>
      </c>
      <c r="C327" s="15">
        <f>_xlfn.MAXIFS(orders!$B:$B,orders!$C:$C,A327)</f>
        <v>44133</v>
      </c>
      <c r="D327" s="14">
        <f t="shared" si="31"/>
        <v>660</v>
      </c>
      <c r="E327" s="14">
        <f>COUNTIFS(orders!$C:$C,A327)</f>
        <v>1</v>
      </c>
      <c r="F327" s="16">
        <f>SUMIFS(orders!$M:$M,orders!$C:$C,A327)</f>
        <v>58.2</v>
      </c>
      <c r="G327" s="14" t="str">
        <f>INDEX(orders!$P:$P,MATCH(A327,orders!$C:$C,0))</f>
        <v>No</v>
      </c>
      <c r="H327" s="17">
        <f t="shared" si="32"/>
        <v>3</v>
      </c>
      <c r="I327" s="14">
        <f t="shared" si="33"/>
        <v>1</v>
      </c>
      <c r="J327">
        <f t="shared" si="34"/>
        <v>4</v>
      </c>
      <c r="K327" s="14">
        <f t="shared" si="35"/>
        <v>8</v>
      </c>
      <c r="L327" t="str">
        <f t="shared" si="36"/>
        <v>Standard One-Time Buyers</v>
      </c>
    </row>
    <row r="328" spans="1:12" x14ac:dyDescent="0.3">
      <c r="A328" s="12" t="s">
        <v>1987</v>
      </c>
      <c r="B328" s="14" t="str">
        <f>INDEX(orders!$F:$F,MATCH(A328,orders!$C:$C,0))</f>
        <v>Violette Hellmore</v>
      </c>
      <c r="C328" s="15">
        <f>_xlfn.MAXIFS(orders!$B:$B,orders!$C:$C,A328)</f>
        <v>43872</v>
      </c>
      <c r="D328" s="14">
        <f t="shared" si="31"/>
        <v>921</v>
      </c>
      <c r="E328" s="14">
        <f>COUNTIFS(orders!$C:$C,A328)</f>
        <v>1</v>
      </c>
      <c r="F328" s="16">
        <f>SUMIFS(orders!$M:$M,orders!$C:$C,A328)</f>
        <v>5.97</v>
      </c>
      <c r="G328" s="14" t="str">
        <f>INDEX(orders!$P:$P,MATCH(A328,orders!$C:$C,0))</f>
        <v>Yes</v>
      </c>
      <c r="H328" s="17">
        <f t="shared" si="32"/>
        <v>2</v>
      </c>
      <c r="I328" s="14">
        <f t="shared" si="33"/>
        <v>1</v>
      </c>
      <c r="J328">
        <f t="shared" si="34"/>
        <v>1</v>
      </c>
      <c r="K328" s="14">
        <f t="shared" si="35"/>
        <v>4</v>
      </c>
      <c r="L328" t="str">
        <f t="shared" si="36"/>
        <v>Lapsed One-Time Buyers</v>
      </c>
    </row>
    <row r="329" spans="1:12" x14ac:dyDescent="0.3">
      <c r="A329" s="12" t="s">
        <v>3154</v>
      </c>
      <c r="B329" s="14" t="str">
        <f>INDEX(orders!$F:$F,MATCH(A329,orders!$C:$C,0))</f>
        <v>Lamond Gheeraert</v>
      </c>
      <c r="C329" s="15">
        <f>_xlfn.MAXIFS(orders!$B:$B,orders!$C:$C,A329)</f>
        <v>44644</v>
      </c>
      <c r="D329" s="14">
        <f t="shared" si="31"/>
        <v>149</v>
      </c>
      <c r="E329" s="14">
        <f>COUNTIFS(orders!$C:$C,A329)</f>
        <v>1</v>
      </c>
      <c r="F329" s="16">
        <f>SUMIFS(orders!$M:$M,orders!$C:$C,A329)</f>
        <v>133.85999999999999</v>
      </c>
      <c r="G329" s="14" t="str">
        <f>INDEX(orders!$P:$P,MATCH(A329,orders!$C:$C,0))</f>
        <v>Yes</v>
      </c>
      <c r="H329" s="17">
        <f t="shared" si="32"/>
        <v>5</v>
      </c>
      <c r="I329" s="14">
        <f t="shared" si="33"/>
        <v>1</v>
      </c>
      <c r="J329">
        <f t="shared" si="34"/>
        <v>5</v>
      </c>
      <c r="K329" s="14">
        <f t="shared" si="35"/>
        <v>11</v>
      </c>
      <c r="L329" t="str">
        <f t="shared" si="36"/>
        <v>Recent High-Value (One-Time)</v>
      </c>
    </row>
    <row r="330" spans="1:12" x14ac:dyDescent="0.3">
      <c r="A330" s="12" t="s">
        <v>2057</v>
      </c>
      <c r="B330" s="14" t="str">
        <f>INDEX(orders!$F:$F,MATCH(A330,orders!$C:$C,0))</f>
        <v>Gussy Broadbear</v>
      </c>
      <c r="C330" s="15">
        <f>_xlfn.MAXIFS(orders!$B:$B,orders!$C:$C,A330)</f>
        <v>44183</v>
      </c>
      <c r="D330" s="14">
        <f t="shared" si="31"/>
        <v>610</v>
      </c>
      <c r="E330" s="14">
        <f>COUNTIFS(orders!$C:$C,A330)</f>
        <v>1</v>
      </c>
      <c r="F330" s="16">
        <f>SUMIFS(orders!$M:$M,orders!$C:$C,A330)</f>
        <v>89.1</v>
      </c>
      <c r="G330" s="14" t="str">
        <f>INDEX(orders!$P:$P,MATCH(A330,orders!$C:$C,0))</f>
        <v>No</v>
      </c>
      <c r="H330" s="17">
        <f t="shared" si="32"/>
        <v>3</v>
      </c>
      <c r="I330" s="14">
        <f t="shared" si="33"/>
        <v>1</v>
      </c>
      <c r="J330">
        <f t="shared" si="34"/>
        <v>5</v>
      </c>
      <c r="K330" s="14">
        <f t="shared" si="35"/>
        <v>9</v>
      </c>
      <c r="L330" t="str">
        <f t="shared" si="36"/>
        <v>Standard One-Time Buyers</v>
      </c>
    </row>
    <row r="331" spans="1:12" x14ac:dyDescent="0.3">
      <c r="A331" s="12" t="s">
        <v>3011</v>
      </c>
      <c r="B331" s="14" t="str">
        <f>INDEX(orders!$F:$F,MATCH(A331,orders!$C:$C,0))</f>
        <v>Arleen Braidman</v>
      </c>
      <c r="C331" s="15">
        <f>_xlfn.MAXIFS(orders!$B:$B,orders!$C:$C,A331)</f>
        <v>43908</v>
      </c>
      <c r="D331" s="14">
        <f t="shared" si="31"/>
        <v>885</v>
      </c>
      <c r="E331" s="14">
        <f>COUNTIFS(orders!$C:$C,A331)</f>
        <v>1</v>
      </c>
      <c r="F331" s="16">
        <f>SUMIFS(orders!$M:$M,orders!$C:$C,A331)</f>
        <v>17.91</v>
      </c>
      <c r="G331" s="14" t="str">
        <f>INDEX(orders!$P:$P,MATCH(A331,orders!$C:$C,0))</f>
        <v>No</v>
      </c>
      <c r="H331" s="17">
        <f t="shared" si="32"/>
        <v>2</v>
      </c>
      <c r="I331" s="14">
        <f t="shared" si="33"/>
        <v>1</v>
      </c>
      <c r="J331">
        <f t="shared" si="34"/>
        <v>2</v>
      </c>
      <c r="K331" s="14">
        <f t="shared" si="35"/>
        <v>5</v>
      </c>
      <c r="L331" t="str">
        <f t="shared" si="36"/>
        <v>Lapsed One-Time Buyers</v>
      </c>
    </row>
    <row r="332" spans="1:12" x14ac:dyDescent="0.3">
      <c r="A332" s="12" t="s">
        <v>2409</v>
      </c>
      <c r="B332" s="14" t="str">
        <f>INDEX(orders!$F:$F,MATCH(A332,orders!$C:$C,0))</f>
        <v>Wesley Giorgioni</v>
      </c>
      <c r="C332" s="15">
        <f>_xlfn.MAXIFS(orders!$B:$B,orders!$C:$C,A332)</f>
        <v>43528</v>
      </c>
      <c r="D332" s="14">
        <f t="shared" si="31"/>
        <v>1265</v>
      </c>
      <c r="E332" s="14">
        <f>COUNTIFS(orders!$C:$C,A332)</f>
        <v>1</v>
      </c>
      <c r="F332" s="16">
        <f>SUMIFS(orders!$M:$M,orders!$C:$C,A332)</f>
        <v>7.29</v>
      </c>
      <c r="G332" s="14" t="str">
        <f>INDEX(orders!$P:$P,MATCH(A332,orders!$C:$C,0))</f>
        <v>Yes</v>
      </c>
      <c r="H332" s="17">
        <f t="shared" si="32"/>
        <v>1</v>
      </c>
      <c r="I332" s="14">
        <f t="shared" si="33"/>
        <v>1</v>
      </c>
      <c r="J332">
        <f t="shared" si="34"/>
        <v>1</v>
      </c>
      <c r="K332" s="14">
        <f t="shared" si="35"/>
        <v>3</v>
      </c>
      <c r="L332" t="str">
        <f t="shared" si="36"/>
        <v>Lapsed One-Time Buyers</v>
      </c>
    </row>
    <row r="333" spans="1:12" x14ac:dyDescent="0.3">
      <c r="A333" s="12" t="s">
        <v>2194</v>
      </c>
      <c r="B333" s="14" t="str">
        <f>INDEX(orders!$F:$F,MATCH(A333,orders!$C:$C,0))</f>
        <v>Perkin Stonner</v>
      </c>
      <c r="C333" s="15">
        <f>_xlfn.MAXIFS(orders!$B:$B,orders!$C:$C,A333)</f>
        <v>43762</v>
      </c>
      <c r="D333" s="14">
        <f t="shared" si="31"/>
        <v>1031</v>
      </c>
      <c r="E333" s="14">
        <f>COUNTIFS(orders!$C:$C,A333)</f>
        <v>1</v>
      </c>
      <c r="F333" s="16">
        <f>SUMIFS(orders!$M:$M,orders!$C:$C,A333)</f>
        <v>6.75</v>
      </c>
      <c r="G333" s="14" t="str">
        <f>INDEX(orders!$P:$P,MATCH(A333,orders!$C:$C,0))</f>
        <v>No</v>
      </c>
      <c r="H333" s="17">
        <f t="shared" si="32"/>
        <v>2</v>
      </c>
      <c r="I333" s="14">
        <f t="shared" si="33"/>
        <v>1</v>
      </c>
      <c r="J333">
        <f t="shared" si="34"/>
        <v>1</v>
      </c>
      <c r="K333" s="14">
        <f t="shared" si="35"/>
        <v>4</v>
      </c>
      <c r="L333" t="str">
        <f t="shared" si="36"/>
        <v>Lapsed One-Time Buyers</v>
      </c>
    </row>
    <row r="334" spans="1:12" x14ac:dyDescent="0.3">
      <c r="A334" s="12" t="s">
        <v>2610</v>
      </c>
      <c r="B334" s="14" t="str">
        <f>INDEX(orders!$F:$F,MATCH(A334,orders!$C:$C,0))</f>
        <v>Judd De Leek</v>
      </c>
      <c r="C334" s="15">
        <f>_xlfn.MAXIFS(orders!$B:$B,orders!$C:$C,A334)</f>
        <v>44097</v>
      </c>
      <c r="D334" s="14">
        <f t="shared" si="31"/>
        <v>696</v>
      </c>
      <c r="E334" s="14">
        <f>COUNTIFS(orders!$C:$C,A334)</f>
        <v>1</v>
      </c>
      <c r="F334" s="16">
        <f>SUMIFS(orders!$M:$M,orders!$C:$C,A334)</f>
        <v>5.97</v>
      </c>
      <c r="G334" s="14" t="str">
        <f>INDEX(orders!$P:$P,MATCH(A334,orders!$C:$C,0))</f>
        <v>Yes</v>
      </c>
      <c r="H334" s="17">
        <f t="shared" si="32"/>
        <v>3</v>
      </c>
      <c r="I334" s="14">
        <f t="shared" si="33"/>
        <v>1</v>
      </c>
      <c r="J334">
        <f t="shared" si="34"/>
        <v>1</v>
      </c>
      <c r="K334" s="14">
        <f t="shared" si="35"/>
        <v>5</v>
      </c>
      <c r="L334" t="str">
        <f t="shared" si="36"/>
        <v>Standard One-Time Buyers</v>
      </c>
    </row>
    <row r="335" spans="1:12" x14ac:dyDescent="0.3">
      <c r="A335" s="12" t="s">
        <v>2280</v>
      </c>
      <c r="B335" s="14" t="str">
        <f>INDEX(orders!$F:$F,MATCH(A335,orders!$C:$C,0))</f>
        <v>Selma McMillian</v>
      </c>
      <c r="C335" s="15">
        <f>_xlfn.MAXIFS(orders!$B:$B,orders!$C:$C,A335)</f>
        <v>43782</v>
      </c>
      <c r="D335" s="14">
        <f t="shared" si="31"/>
        <v>1011</v>
      </c>
      <c r="E335" s="14">
        <f>COUNTIFS(orders!$C:$C,A335)</f>
        <v>2</v>
      </c>
      <c r="F335" s="16">
        <f>SUMIFS(orders!$M:$M,orders!$C:$C,A335)</f>
        <v>37.980000000000004</v>
      </c>
      <c r="G335" s="14" t="str">
        <f>INDEX(orders!$P:$P,MATCH(A335,orders!$C:$C,0))</f>
        <v>No</v>
      </c>
      <c r="H335" s="17">
        <f t="shared" si="32"/>
        <v>2</v>
      </c>
      <c r="I335" s="14">
        <f t="shared" si="33"/>
        <v>3</v>
      </c>
      <c r="J335">
        <f t="shared" si="34"/>
        <v>3</v>
      </c>
      <c r="K335" s="14">
        <f t="shared" si="35"/>
        <v>8</v>
      </c>
      <c r="L335" t="str">
        <f t="shared" si="36"/>
        <v>At-Risk Repeat Customers</v>
      </c>
    </row>
    <row r="336" spans="1:12" x14ac:dyDescent="0.3">
      <c r="A336" s="12" t="s">
        <v>1199</v>
      </c>
      <c r="B336" s="14" t="str">
        <f>INDEX(orders!$F:$F,MATCH(A336,orders!$C:$C,0))</f>
        <v>Hewet Synnot</v>
      </c>
      <c r="C336" s="15">
        <f>_xlfn.MAXIFS(orders!$B:$B,orders!$C:$C,A336)</f>
        <v>44026</v>
      </c>
      <c r="D336" s="14">
        <f t="shared" si="31"/>
        <v>767</v>
      </c>
      <c r="E336" s="14">
        <f>COUNTIFS(orders!$C:$C,A336)</f>
        <v>1</v>
      </c>
      <c r="F336" s="16">
        <f>SUMIFS(orders!$M:$M,orders!$C:$C,A336)</f>
        <v>11.25</v>
      </c>
      <c r="G336" s="14" t="str">
        <f>INDEX(orders!$P:$P,MATCH(A336,orders!$C:$C,0))</f>
        <v>No</v>
      </c>
      <c r="H336" s="17">
        <f t="shared" si="32"/>
        <v>2</v>
      </c>
      <c r="I336" s="14">
        <f t="shared" si="33"/>
        <v>1</v>
      </c>
      <c r="J336">
        <f t="shared" si="34"/>
        <v>1</v>
      </c>
      <c r="K336" s="14">
        <f t="shared" si="35"/>
        <v>4</v>
      </c>
      <c r="L336" t="str">
        <f t="shared" si="36"/>
        <v>Lapsed One-Time Buyers</v>
      </c>
    </row>
    <row r="337" spans="1:12" x14ac:dyDescent="0.3">
      <c r="A337" s="12" t="s">
        <v>2233</v>
      </c>
      <c r="B337" s="14" t="str">
        <f>INDEX(orders!$F:$F,MATCH(A337,orders!$C:$C,0))</f>
        <v>Eveleen Bletsor</v>
      </c>
      <c r="C337" s="15">
        <f>_xlfn.MAXIFS(orders!$B:$B,orders!$C:$C,A337)</f>
        <v>43864</v>
      </c>
      <c r="D337" s="14">
        <f t="shared" si="31"/>
        <v>929</v>
      </c>
      <c r="E337" s="14">
        <f>COUNTIFS(orders!$C:$C,A337)</f>
        <v>1</v>
      </c>
      <c r="F337" s="16">
        <f>SUMIFS(orders!$M:$M,orders!$C:$C,A337)</f>
        <v>26.19</v>
      </c>
      <c r="G337" s="14" t="str">
        <f>INDEX(orders!$P:$P,MATCH(A337,orders!$C:$C,0))</f>
        <v>Yes</v>
      </c>
      <c r="H337" s="17">
        <f t="shared" si="32"/>
        <v>2</v>
      </c>
      <c r="I337" s="14">
        <f t="shared" si="33"/>
        <v>1</v>
      </c>
      <c r="J337">
        <f t="shared" si="34"/>
        <v>3</v>
      </c>
      <c r="K337" s="14">
        <f t="shared" si="35"/>
        <v>6</v>
      </c>
      <c r="L337" t="str">
        <f t="shared" si="36"/>
        <v>Lapsed One-Time Buyers</v>
      </c>
    </row>
    <row r="338" spans="1:12" x14ac:dyDescent="0.3">
      <c r="A338" s="12" t="s">
        <v>2251</v>
      </c>
      <c r="B338" s="14" t="str">
        <f>INDEX(orders!$F:$F,MATCH(A338,orders!$C:$C,0))</f>
        <v>Natka Leethem</v>
      </c>
      <c r="C338" s="15">
        <f>_xlfn.MAXIFS(orders!$B:$B,orders!$C:$C,A338)</f>
        <v>44317</v>
      </c>
      <c r="D338" s="14">
        <f t="shared" si="31"/>
        <v>476</v>
      </c>
      <c r="E338" s="14">
        <f>COUNTIFS(orders!$C:$C,A338)</f>
        <v>1</v>
      </c>
      <c r="F338" s="16">
        <f>SUMIFS(orders!$M:$M,orders!$C:$C,A338)</f>
        <v>5.97</v>
      </c>
      <c r="G338" s="14" t="str">
        <f>INDEX(orders!$P:$P,MATCH(A338,orders!$C:$C,0))</f>
        <v>Yes</v>
      </c>
      <c r="H338" s="17">
        <f t="shared" si="32"/>
        <v>4</v>
      </c>
      <c r="I338" s="14">
        <f t="shared" si="33"/>
        <v>1</v>
      </c>
      <c r="J338">
        <f t="shared" si="34"/>
        <v>1</v>
      </c>
      <c r="K338" s="14">
        <f t="shared" si="35"/>
        <v>6</v>
      </c>
      <c r="L338" t="str">
        <f t="shared" si="36"/>
        <v>Standard One-Time Buyers</v>
      </c>
    </row>
    <row r="339" spans="1:12" x14ac:dyDescent="0.3">
      <c r="A339" s="12" t="s">
        <v>1633</v>
      </c>
      <c r="B339" s="14" t="str">
        <f>INDEX(orders!$F:$F,MATCH(A339,orders!$C:$C,0))</f>
        <v>Vanna Le - Count</v>
      </c>
      <c r="C339" s="15">
        <f>_xlfn.MAXIFS(orders!$B:$B,orders!$C:$C,A339)</f>
        <v>44608</v>
      </c>
      <c r="D339" s="14">
        <f t="shared" si="31"/>
        <v>185</v>
      </c>
      <c r="E339" s="14">
        <f>COUNTIFS(orders!$C:$C,A339)</f>
        <v>1</v>
      </c>
      <c r="F339" s="16">
        <f>SUMIFS(orders!$M:$M,orders!$C:$C,A339)</f>
        <v>4.7549999999999999</v>
      </c>
      <c r="G339" s="14" t="str">
        <f>INDEX(orders!$P:$P,MATCH(A339,orders!$C:$C,0))</f>
        <v>No</v>
      </c>
      <c r="H339" s="17">
        <f t="shared" si="32"/>
        <v>5</v>
      </c>
      <c r="I339" s="14">
        <f t="shared" si="33"/>
        <v>1</v>
      </c>
      <c r="J339">
        <f t="shared" si="34"/>
        <v>1</v>
      </c>
      <c r="K339" s="14">
        <f t="shared" si="35"/>
        <v>7</v>
      </c>
      <c r="L339" t="str">
        <f t="shared" si="36"/>
        <v>Standard One-Time Buyers</v>
      </c>
    </row>
    <row r="340" spans="1:12" x14ac:dyDescent="0.3">
      <c r="A340" s="12" t="s">
        <v>615</v>
      </c>
      <c r="B340" s="14" t="str">
        <f>INDEX(orders!$F:$F,MATCH(A340,orders!$C:$C,0))</f>
        <v>Annabel Antuk</v>
      </c>
      <c r="C340" s="15">
        <f>_xlfn.MAXIFS(orders!$B:$B,orders!$C:$C,A340)</f>
        <v>44218</v>
      </c>
      <c r="D340" s="14">
        <f t="shared" si="31"/>
        <v>575</v>
      </c>
      <c r="E340" s="14">
        <f>COUNTIFS(orders!$C:$C,A340)</f>
        <v>1</v>
      </c>
      <c r="F340" s="16">
        <f>SUMIFS(orders!$M:$M,orders!$C:$C,A340)</f>
        <v>91.539999999999992</v>
      </c>
      <c r="G340" s="14" t="str">
        <f>INDEX(orders!$P:$P,MATCH(A340,orders!$C:$C,0))</f>
        <v>Yes</v>
      </c>
      <c r="H340" s="17">
        <f t="shared" si="32"/>
        <v>3</v>
      </c>
      <c r="I340" s="14">
        <f t="shared" si="33"/>
        <v>1</v>
      </c>
      <c r="J340">
        <f t="shared" si="34"/>
        <v>5</v>
      </c>
      <c r="K340" s="14">
        <f t="shared" si="35"/>
        <v>9</v>
      </c>
      <c r="L340" t="str">
        <f t="shared" si="36"/>
        <v>Standard One-Time Buyers</v>
      </c>
    </row>
    <row r="341" spans="1:12" x14ac:dyDescent="0.3">
      <c r="A341" s="12" t="s">
        <v>5306</v>
      </c>
      <c r="B341" s="14" t="str">
        <f>INDEX(orders!$F:$F,MATCH(A341,orders!$C:$C,0))</f>
        <v>Bear Gaish</v>
      </c>
      <c r="C341" s="15">
        <f>_xlfn.MAXIFS(orders!$B:$B,orders!$C:$C,A341)</f>
        <v>44527</v>
      </c>
      <c r="D341" s="14">
        <f t="shared" si="31"/>
        <v>266</v>
      </c>
      <c r="E341" s="14">
        <f>COUNTIFS(orders!$C:$C,A341)</f>
        <v>1</v>
      </c>
      <c r="F341" s="16">
        <f>SUMIFS(orders!$M:$M,orders!$C:$C,A341)</f>
        <v>119.13999999999999</v>
      </c>
      <c r="G341" s="14" t="str">
        <f>INDEX(orders!$P:$P,MATCH(A341,orders!$C:$C,0))</f>
        <v>Yes</v>
      </c>
      <c r="H341" s="17">
        <f t="shared" si="32"/>
        <v>5</v>
      </c>
      <c r="I341" s="14">
        <f t="shared" si="33"/>
        <v>1</v>
      </c>
      <c r="J341">
        <f t="shared" si="34"/>
        <v>5</v>
      </c>
      <c r="K341" s="14">
        <f t="shared" si="35"/>
        <v>11</v>
      </c>
      <c r="L341" t="str">
        <f t="shared" si="36"/>
        <v>Recent High-Value (One-Time)</v>
      </c>
    </row>
    <row r="342" spans="1:12" x14ac:dyDescent="0.3">
      <c r="A342" s="12" t="s">
        <v>3237</v>
      </c>
      <c r="B342" s="14" t="str">
        <f>INDEX(orders!$F:$F,MATCH(A342,orders!$C:$C,0))</f>
        <v>Franny Kienlein</v>
      </c>
      <c r="C342" s="15">
        <f>_xlfn.MAXIFS(orders!$B:$B,orders!$C:$C,A342)</f>
        <v>44043</v>
      </c>
      <c r="D342" s="14">
        <f t="shared" si="31"/>
        <v>750</v>
      </c>
      <c r="E342" s="14">
        <f>COUNTIFS(orders!$C:$C,A342)</f>
        <v>1</v>
      </c>
      <c r="F342" s="16">
        <f>SUMIFS(orders!$M:$M,orders!$C:$C,A342)</f>
        <v>52.38</v>
      </c>
      <c r="G342" s="14" t="str">
        <f>INDEX(orders!$P:$P,MATCH(A342,orders!$C:$C,0))</f>
        <v>Yes</v>
      </c>
      <c r="H342" s="17">
        <f t="shared" si="32"/>
        <v>3</v>
      </c>
      <c r="I342" s="14">
        <f t="shared" si="33"/>
        <v>1</v>
      </c>
      <c r="J342">
        <f t="shared" si="34"/>
        <v>4</v>
      </c>
      <c r="K342" s="14">
        <f t="shared" si="35"/>
        <v>8</v>
      </c>
      <c r="L342" t="str">
        <f t="shared" si="36"/>
        <v>Standard One-Time Buyers</v>
      </c>
    </row>
    <row r="343" spans="1:12" x14ac:dyDescent="0.3">
      <c r="A343" s="12" t="s">
        <v>1714</v>
      </c>
      <c r="B343" s="14" t="str">
        <f>INDEX(orders!$F:$F,MATCH(A343,orders!$C:$C,0))</f>
        <v>Godfry Poinsett</v>
      </c>
      <c r="C343" s="15">
        <f>_xlfn.MAXIFS(orders!$B:$B,orders!$C:$C,A343)</f>
        <v>44174</v>
      </c>
      <c r="D343" s="14">
        <f t="shared" si="31"/>
        <v>619</v>
      </c>
      <c r="E343" s="14">
        <f>COUNTIFS(orders!$C:$C,A343)</f>
        <v>1</v>
      </c>
      <c r="F343" s="16">
        <f>SUMIFS(orders!$M:$M,orders!$C:$C,A343)</f>
        <v>35.64</v>
      </c>
      <c r="G343" s="14" t="str">
        <f>INDEX(orders!$P:$P,MATCH(A343,orders!$C:$C,0))</f>
        <v>No</v>
      </c>
      <c r="H343" s="17">
        <f t="shared" si="32"/>
        <v>3</v>
      </c>
      <c r="I343" s="14">
        <f t="shared" si="33"/>
        <v>1</v>
      </c>
      <c r="J343">
        <f t="shared" si="34"/>
        <v>3</v>
      </c>
      <c r="K343" s="14">
        <f t="shared" si="35"/>
        <v>7</v>
      </c>
      <c r="L343" t="str">
        <f t="shared" si="36"/>
        <v>Standard One-Time Buyers</v>
      </c>
    </row>
    <row r="344" spans="1:12" x14ac:dyDescent="0.3">
      <c r="A344" s="12" t="s">
        <v>6107</v>
      </c>
      <c r="B344" s="14" t="str">
        <f>INDEX(orders!$F:$F,MATCH(A344,orders!$C:$C,0))</f>
        <v>Catharine Scoines</v>
      </c>
      <c r="C344" s="15">
        <f>_xlfn.MAXIFS(orders!$B:$B,orders!$C:$C,A344)</f>
        <v>44244</v>
      </c>
      <c r="D344" s="14">
        <f t="shared" si="31"/>
        <v>549</v>
      </c>
      <c r="E344" s="14">
        <f>COUNTIFS(orders!$C:$C,A344)</f>
        <v>1</v>
      </c>
      <c r="F344" s="16">
        <f>SUMIFS(orders!$M:$M,orders!$C:$C,A344)</f>
        <v>8.9550000000000001</v>
      </c>
      <c r="G344" s="14" t="str">
        <f>INDEX(orders!$P:$P,MATCH(A344,orders!$C:$C,0))</f>
        <v>No</v>
      </c>
      <c r="H344" s="17">
        <f t="shared" si="32"/>
        <v>3</v>
      </c>
      <c r="I344" s="14">
        <f t="shared" si="33"/>
        <v>1</v>
      </c>
      <c r="J344">
        <f t="shared" si="34"/>
        <v>1</v>
      </c>
      <c r="K344" s="14">
        <f t="shared" si="35"/>
        <v>5</v>
      </c>
      <c r="L344" t="str">
        <f t="shared" si="36"/>
        <v>Standard One-Time Buyers</v>
      </c>
    </row>
    <row r="345" spans="1:12" x14ac:dyDescent="0.3">
      <c r="A345" s="12" t="s">
        <v>1442</v>
      </c>
      <c r="B345" s="14" t="str">
        <f>INDEX(orders!$F:$F,MATCH(A345,orders!$C:$C,0))</f>
        <v>Felita Dauney</v>
      </c>
      <c r="C345" s="15">
        <f>_xlfn.MAXIFS(orders!$B:$B,orders!$C:$C,A345)</f>
        <v>44643</v>
      </c>
      <c r="D345" s="14">
        <f t="shared" si="31"/>
        <v>150</v>
      </c>
      <c r="E345" s="14">
        <f>COUNTIFS(orders!$C:$C,A345)</f>
        <v>1</v>
      </c>
      <c r="F345" s="16">
        <f>SUMIFS(orders!$M:$M,orders!$C:$C,A345)</f>
        <v>17.899999999999999</v>
      </c>
      <c r="G345" s="14" t="str">
        <f>INDEX(orders!$P:$P,MATCH(A345,orders!$C:$C,0))</f>
        <v>No</v>
      </c>
      <c r="H345" s="17">
        <f t="shared" si="32"/>
        <v>5</v>
      </c>
      <c r="I345" s="14">
        <f t="shared" si="33"/>
        <v>1</v>
      </c>
      <c r="J345">
        <f t="shared" si="34"/>
        <v>2</v>
      </c>
      <c r="K345" s="14">
        <f t="shared" si="35"/>
        <v>8</v>
      </c>
      <c r="L345" t="str">
        <f t="shared" si="36"/>
        <v>Standard One-Time Buyers</v>
      </c>
    </row>
    <row r="346" spans="1:12" x14ac:dyDescent="0.3">
      <c r="A346" s="12" t="s">
        <v>3774</v>
      </c>
      <c r="B346" s="14" t="str">
        <f>INDEX(orders!$F:$F,MATCH(A346,orders!$C:$C,0))</f>
        <v>Carney Clemencet</v>
      </c>
      <c r="C346" s="15">
        <f>_xlfn.MAXIFS(orders!$B:$B,orders!$C:$C,A346)</f>
        <v>44190</v>
      </c>
      <c r="D346" s="14">
        <f t="shared" si="31"/>
        <v>603</v>
      </c>
      <c r="E346" s="14">
        <f>COUNTIFS(orders!$C:$C,A346)</f>
        <v>1</v>
      </c>
      <c r="F346" s="16">
        <f>SUMIFS(orders!$M:$M,orders!$C:$C,A346)</f>
        <v>44.55</v>
      </c>
      <c r="G346" s="14" t="str">
        <f>INDEX(orders!$P:$P,MATCH(A346,orders!$C:$C,0))</f>
        <v>Yes</v>
      </c>
      <c r="H346" s="17">
        <f t="shared" si="32"/>
        <v>3</v>
      </c>
      <c r="I346" s="14">
        <f t="shared" si="33"/>
        <v>1</v>
      </c>
      <c r="J346">
        <f t="shared" si="34"/>
        <v>4</v>
      </c>
      <c r="K346" s="14">
        <f t="shared" si="35"/>
        <v>8</v>
      </c>
      <c r="L346" t="str">
        <f t="shared" si="36"/>
        <v>Standard One-Time Buyers</v>
      </c>
    </row>
    <row r="347" spans="1:12" x14ac:dyDescent="0.3">
      <c r="A347" s="12" t="s">
        <v>1488</v>
      </c>
      <c r="B347" s="14" t="str">
        <f>INDEX(orders!$F:$F,MATCH(A347,orders!$C:$C,0))</f>
        <v>Emlynne Heining</v>
      </c>
      <c r="C347" s="15">
        <f>_xlfn.MAXIFS(orders!$B:$B,orders!$C:$C,A347)</f>
        <v>44120</v>
      </c>
      <c r="D347" s="14">
        <f t="shared" si="31"/>
        <v>673</v>
      </c>
      <c r="E347" s="14">
        <f>COUNTIFS(orders!$C:$C,A347)</f>
        <v>1</v>
      </c>
      <c r="F347" s="16">
        <f>SUMIFS(orders!$M:$M,orders!$C:$C,A347)</f>
        <v>109.93999999999998</v>
      </c>
      <c r="G347" s="14" t="str">
        <f>INDEX(orders!$P:$P,MATCH(A347,orders!$C:$C,0))</f>
        <v>Yes</v>
      </c>
      <c r="H347" s="17">
        <f t="shared" si="32"/>
        <v>3</v>
      </c>
      <c r="I347" s="14">
        <f t="shared" si="33"/>
        <v>1</v>
      </c>
      <c r="J347">
        <f t="shared" si="34"/>
        <v>5</v>
      </c>
      <c r="K347" s="14">
        <f t="shared" si="35"/>
        <v>9</v>
      </c>
      <c r="L347" t="str">
        <f t="shared" si="36"/>
        <v>Standard One-Time Buyers</v>
      </c>
    </row>
    <row r="348" spans="1:12" x14ac:dyDescent="0.3">
      <c r="A348" s="12" t="s">
        <v>5171</v>
      </c>
      <c r="B348" s="14" t="str">
        <f>INDEX(orders!$F:$F,MATCH(A348,orders!$C:$C,0))</f>
        <v>Adora Roubert</v>
      </c>
      <c r="C348" s="15">
        <f>_xlfn.MAXIFS(orders!$B:$B,orders!$C:$C,A348)</f>
        <v>44505</v>
      </c>
      <c r="D348" s="14">
        <f t="shared" si="31"/>
        <v>288</v>
      </c>
      <c r="E348" s="14">
        <f>COUNTIFS(orders!$C:$C,A348)</f>
        <v>1</v>
      </c>
      <c r="F348" s="16">
        <f>SUMIFS(orders!$M:$M,orders!$C:$C,A348)</f>
        <v>137.31</v>
      </c>
      <c r="G348" s="14" t="str">
        <f>INDEX(orders!$P:$P,MATCH(A348,orders!$C:$C,0))</f>
        <v>Yes</v>
      </c>
      <c r="H348" s="17">
        <f t="shared" si="32"/>
        <v>4</v>
      </c>
      <c r="I348" s="14">
        <f t="shared" si="33"/>
        <v>1</v>
      </c>
      <c r="J348">
        <f t="shared" si="34"/>
        <v>5</v>
      </c>
      <c r="K348" s="14">
        <f t="shared" si="35"/>
        <v>10</v>
      </c>
      <c r="L348" t="str">
        <f t="shared" si="36"/>
        <v>Recent High-Value (One-Time)</v>
      </c>
    </row>
    <row r="349" spans="1:12" x14ac:dyDescent="0.3">
      <c r="A349" s="12" t="s">
        <v>1323</v>
      </c>
      <c r="B349" s="14" t="str">
        <f>INDEX(orders!$F:$F,MATCH(A349,orders!$C:$C,0))</f>
        <v>Giacobo Skingle</v>
      </c>
      <c r="C349" s="15">
        <f>_xlfn.MAXIFS(orders!$B:$B,orders!$C:$C,A349)</f>
        <v>44551</v>
      </c>
      <c r="D349" s="14">
        <f t="shared" si="31"/>
        <v>242</v>
      </c>
      <c r="E349" s="14">
        <f>COUNTIFS(orders!$C:$C,A349)</f>
        <v>1</v>
      </c>
      <c r="F349" s="16">
        <f>SUMIFS(orders!$M:$M,orders!$C:$C,A349)</f>
        <v>18.225000000000001</v>
      </c>
      <c r="G349" s="14" t="str">
        <f>INDEX(orders!$P:$P,MATCH(A349,orders!$C:$C,0))</f>
        <v>Yes</v>
      </c>
      <c r="H349" s="17">
        <f t="shared" si="32"/>
        <v>5</v>
      </c>
      <c r="I349" s="14">
        <f t="shared" si="33"/>
        <v>1</v>
      </c>
      <c r="J349">
        <f t="shared" si="34"/>
        <v>2</v>
      </c>
      <c r="K349" s="14">
        <f t="shared" si="35"/>
        <v>8</v>
      </c>
      <c r="L349" t="str">
        <f t="shared" si="36"/>
        <v>Standard One-Time Buyers</v>
      </c>
    </row>
    <row r="350" spans="1:12" x14ac:dyDescent="0.3">
      <c r="A350" s="12" t="s">
        <v>677</v>
      </c>
      <c r="B350" s="14" t="str">
        <f>INDEX(orders!$F:$F,MATCH(A350,orders!$C:$C,0))</f>
        <v>Gallard Gatheral</v>
      </c>
      <c r="C350" s="15">
        <f>_xlfn.MAXIFS(orders!$B:$B,orders!$C:$C,A350)</f>
        <v>44394</v>
      </c>
      <c r="D350" s="14">
        <f t="shared" si="31"/>
        <v>399</v>
      </c>
      <c r="E350" s="14">
        <f>COUNTIFS(orders!$C:$C,A350)</f>
        <v>1</v>
      </c>
      <c r="F350" s="16">
        <f>SUMIFS(orders!$M:$M,orders!$C:$C,A350)</f>
        <v>23.774999999999999</v>
      </c>
      <c r="G350" s="14" t="str">
        <f>INDEX(orders!$P:$P,MATCH(A350,orders!$C:$C,0))</f>
        <v>No</v>
      </c>
      <c r="H350" s="17">
        <f t="shared" si="32"/>
        <v>4</v>
      </c>
      <c r="I350" s="14">
        <f t="shared" si="33"/>
        <v>1</v>
      </c>
      <c r="J350">
        <f t="shared" si="34"/>
        <v>2</v>
      </c>
      <c r="K350" s="14">
        <f t="shared" si="35"/>
        <v>7</v>
      </c>
      <c r="L350" t="str">
        <f t="shared" si="36"/>
        <v>Standard One-Time Buyers</v>
      </c>
    </row>
    <row r="351" spans="1:12" x14ac:dyDescent="0.3">
      <c r="A351" s="12" t="s">
        <v>997</v>
      </c>
      <c r="B351" s="14" t="str">
        <f>INDEX(orders!$F:$F,MATCH(A351,orders!$C:$C,0))</f>
        <v>Loydie Langlais</v>
      </c>
      <c r="C351" s="15">
        <f>_xlfn.MAXIFS(orders!$B:$B,orders!$C:$C,A351)</f>
        <v>43971</v>
      </c>
      <c r="D351" s="14">
        <f t="shared" si="31"/>
        <v>822</v>
      </c>
      <c r="E351" s="14">
        <f>COUNTIFS(orders!$C:$C,A351)</f>
        <v>1</v>
      </c>
      <c r="F351" s="16">
        <f>SUMIFS(orders!$M:$M,orders!$C:$C,A351)</f>
        <v>51.8</v>
      </c>
      <c r="G351" s="14" t="str">
        <f>INDEX(orders!$P:$P,MATCH(A351,orders!$C:$C,0))</f>
        <v>Yes</v>
      </c>
      <c r="H351" s="17">
        <f t="shared" si="32"/>
        <v>2</v>
      </c>
      <c r="I351" s="14">
        <f t="shared" si="33"/>
        <v>1</v>
      </c>
      <c r="J351">
        <f t="shared" si="34"/>
        <v>4</v>
      </c>
      <c r="K351" s="14">
        <f t="shared" si="35"/>
        <v>7</v>
      </c>
      <c r="L351" t="str">
        <f t="shared" si="36"/>
        <v>Lapsed One-Time Buyers</v>
      </c>
    </row>
    <row r="352" spans="1:12" x14ac:dyDescent="0.3">
      <c r="A352" s="12" t="s">
        <v>4343</v>
      </c>
      <c r="B352" s="14" t="str">
        <f>INDEX(orders!$F:$F,MATCH(A352,orders!$C:$C,0))</f>
        <v>Laryssa Benediktovich</v>
      </c>
      <c r="C352" s="15">
        <f>_xlfn.MAXIFS(orders!$B:$B,orders!$C:$C,A352)</f>
        <v>43827</v>
      </c>
      <c r="D352" s="14">
        <f t="shared" si="31"/>
        <v>966</v>
      </c>
      <c r="E352" s="14">
        <f>COUNTIFS(orders!$C:$C,A352)</f>
        <v>1</v>
      </c>
      <c r="F352" s="16">
        <f>SUMIFS(orders!$M:$M,orders!$C:$C,A352)</f>
        <v>8.25</v>
      </c>
      <c r="G352" s="14" t="str">
        <f>INDEX(orders!$P:$P,MATCH(A352,orders!$C:$C,0))</f>
        <v>Yes</v>
      </c>
      <c r="H352" s="17">
        <f t="shared" si="32"/>
        <v>2</v>
      </c>
      <c r="I352" s="14">
        <f t="shared" si="33"/>
        <v>1</v>
      </c>
      <c r="J352">
        <f t="shared" si="34"/>
        <v>1</v>
      </c>
      <c r="K352" s="14">
        <f t="shared" si="35"/>
        <v>4</v>
      </c>
      <c r="L352" t="str">
        <f t="shared" si="36"/>
        <v>Lapsed One-Time Buyers</v>
      </c>
    </row>
    <row r="353" spans="1:12" x14ac:dyDescent="0.3">
      <c r="A353" s="12" t="s">
        <v>4451</v>
      </c>
      <c r="B353" s="14" t="str">
        <f>INDEX(orders!$F:$F,MATCH(A353,orders!$C:$C,0))</f>
        <v>Nathan Sictornes</v>
      </c>
      <c r="C353" s="15">
        <f>_xlfn.MAXIFS(orders!$B:$B,orders!$C:$C,A353)</f>
        <v>44727</v>
      </c>
      <c r="D353" s="14">
        <f t="shared" si="31"/>
        <v>66</v>
      </c>
      <c r="E353" s="14">
        <f>COUNTIFS(orders!$C:$C,A353)</f>
        <v>1</v>
      </c>
      <c r="F353" s="16">
        <f>SUMIFS(orders!$M:$M,orders!$C:$C,A353)</f>
        <v>29.849999999999998</v>
      </c>
      <c r="G353" s="14" t="str">
        <f>INDEX(orders!$P:$P,MATCH(A353,orders!$C:$C,0))</f>
        <v>Yes</v>
      </c>
      <c r="H353" s="17">
        <f t="shared" si="32"/>
        <v>5</v>
      </c>
      <c r="I353" s="14">
        <f t="shared" si="33"/>
        <v>1</v>
      </c>
      <c r="J353">
        <f t="shared" si="34"/>
        <v>3</v>
      </c>
      <c r="K353" s="14">
        <f t="shared" si="35"/>
        <v>9</v>
      </c>
      <c r="L353" t="str">
        <f t="shared" si="36"/>
        <v>Standard One-Time Buyers</v>
      </c>
    </row>
    <row r="354" spans="1:12" x14ac:dyDescent="0.3">
      <c r="A354" s="12" t="s">
        <v>566</v>
      </c>
      <c r="B354" s="14" t="str">
        <f>INDEX(orders!$F:$F,MATCH(A354,orders!$C:$C,0))</f>
        <v>Terence Vanyutin</v>
      </c>
      <c r="C354" s="15">
        <f>_xlfn.MAXIFS(orders!$B:$B,orders!$C:$C,A354)</f>
        <v>43973</v>
      </c>
      <c r="D354" s="14">
        <f t="shared" si="31"/>
        <v>820</v>
      </c>
      <c r="E354" s="14">
        <f>COUNTIFS(orders!$C:$C,A354)</f>
        <v>1</v>
      </c>
      <c r="F354" s="16">
        <f>SUMIFS(orders!$M:$M,orders!$C:$C,A354)</f>
        <v>41.169999999999995</v>
      </c>
      <c r="G354" s="14" t="str">
        <f>INDEX(orders!$P:$P,MATCH(A354,orders!$C:$C,0))</f>
        <v>No</v>
      </c>
      <c r="H354" s="17">
        <f t="shared" si="32"/>
        <v>2</v>
      </c>
      <c r="I354" s="14">
        <f t="shared" si="33"/>
        <v>1</v>
      </c>
      <c r="J354">
        <f t="shared" si="34"/>
        <v>3</v>
      </c>
      <c r="K354" s="14">
        <f t="shared" si="35"/>
        <v>6</v>
      </c>
      <c r="L354" t="str">
        <f t="shared" si="36"/>
        <v>Lapsed One-Time Buyers</v>
      </c>
    </row>
    <row r="355" spans="1:12" x14ac:dyDescent="0.3">
      <c r="A355" s="12" t="s">
        <v>3901</v>
      </c>
      <c r="B355" s="14" t="str">
        <f>INDEX(orders!$F:$F,MATCH(A355,orders!$C:$C,0))</f>
        <v>Jorge Bettison</v>
      </c>
      <c r="C355" s="15">
        <f>_xlfn.MAXIFS(orders!$B:$B,orders!$C:$C,A355)</f>
        <v>44148</v>
      </c>
      <c r="D355" s="14">
        <f t="shared" si="31"/>
        <v>645</v>
      </c>
      <c r="E355" s="14">
        <f>COUNTIFS(orders!$C:$C,A355)</f>
        <v>1</v>
      </c>
      <c r="F355" s="16">
        <f>SUMIFS(orders!$M:$M,orders!$C:$C,A355)</f>
        <v>119.13999999999999</v>
      </c>
      <c r="G355" s="14" t="str">
        <f>INDEX(orders!$P:$P,MATCH(A355,orders!$C:$C,0))</f>
        <v>No</v>
      </c>
      <c r="H355" s="17">
        <f t="shared" si="32"/>
        <v>3</v>
      </c>
      <c r="I355" s="14">
        <f t="shared" si="33"/>
        <v>1</v>
      </c>
      <c r="J355">
        <f t="shared" si="34"/>
        <v>5</v>
      </c>
      <c r="K355" s="14">
        <f t="shared" si="35"/>
        <v>9</v>
      </c>
      <c r="L355" t="str">
        <f t="shared" si="36"/>
        <v>Standard One-Time Buyers</v>
      </c>
    </row>
    <row r="356" spans="1:12" x14ac:dyDescent="0.3">
      <c r="A356" s="12" t="s">
        <v>4202</v>
      </c>
      <c r="B356" s="14" t="str">
        <f>INDEX(orders!$F:$F,MATCH(A356,orders!$C:$C,0))</f>
        <v>Wren Place</v>
      </c>
      <c r="C356" s="15">
        <f>_xlfn.MAXIFS(orders!$B:$B,orders!$C:$C,A356)</f>
        <v>43831</v>
      </c>
      <c r="D356" s="14">
        <f t="shared" si="31"/>
        <v>962</v>
      </c>
      <c r="E356" s="14">
        <f>COUNTIFS(orders!$C:$C,A356)</f>
        <v>1</v>
      </c>
      <c r="F356" s="16">
        <f>SUMIFS(orders!$M:$M,orders!$C:$C,A356)</f>
        <v>13.5</v>
      </c>
      <c r="G356" s="14" t="str">
        <f>INDEX(orders!$P:$P,MATCH(A356,orders!$C:$C,0))</f>
        <v>Yes</v>
      </c>
      <c r="H356" s="17">
        <f t="shared" si="32"/>
        <v>2</v>
      </c>
      <c r="I356" s="14">
        <f t="shared" si="33"/>
        <v>1</v>
      </c>
      <c r="J356">
        <f t="shared" si="34"/>
        <v>1</v>
      </c>
      <c r="K356" s="14">
        <f t="shared" si="35"/>
        <v>4</v>
      </c>
      <c r="L356" t="str">
        <f t="shared" si="36"/>
        <v>Lapsed One-Time Buyers</v>
      </c>
    </row>
    <row r="357" spans="1:12" x14ac:dyDescent="0.3">
      <c r="A357" s="12" t="s">
        <v>3442</v>
      </c>
      <c r="B357" s="14" t="str">
        <f>INDEX(orders!$F:$F,MATCH(A357,orders!$C:$C,0))</f>
        <v>Vasili Upstone</v>
      </c>
      <c r="C357" s="15">
        <f>_xlfn.MAXIFS(orders!$B:$B,orders!$C:$C,A357)</f>
        <v>43625</v>
      </c>
      <c r="D357" s="14">
        <f t="shared" si="31"/>
        <v>1168</v>
      </c>
      <c r="E357" s="14">
        <f>COUNTIFS(orders!$C:$C,A357)</f>
        <v>1</v>
      </c>
      <c r="F357" s="16">
        <f>SUMIFS(orders!$M:$M,orders!$C:$C,A357)</f>
        <v>29.849999999999998</v>
      </c>
      <c r="G357" s="14" t="str">
        <f>INDEX(orders!$P:$P,MATCH(A357,orders!$C:$C,0))</f>
        <v>No</v>
      </c>
      <c r="H357" s="17">
        <f t="shared" si="32"/>
        <v>1</v>
      </c>
      <c r="I357" s="14">
        <f t="shared" si="33"/>
        <v>1</v>
      </c>
      <c r="J357">
        <f t="shared" si="34"/>
        <v>3</v>
      </c>
      <c r="K357" s="14">
        <f t="shared" si="35"/>
        <v>5</v>
      </c>
      <c r="L357" t="str">
        <f t="shared" si="36"/>
        <v>Lapsed One-Time Buyers</v>
      </c>
    </row>
    <row r="358" spans="1:12" x14ac:dyDescent="0.3">
      <c r="A358" s="12" t="s">
        <v>3768</v>
      </c>
      <c r="B358" s="14" t="str">
        <f>INDEX(orders!$F:$F,MATCH(A358,orders!$C:$C,0))</f>
        <v>Reinaldos Kirtley</v>
      </c>
      <c r="C358" s="15">
        <f>_xlfn.MAXIFS(orders!$B:$B,orders!$C:$C,A358)</f>
        <v>43965</v>
      </c>
      <c r="D358" s="14">
        <f t="shared" si="31"/>
        <v>828</v>
      </c>
      <c r="E358" s="14">
        <f>COUNTIFS(orders!$C:$C,A358)</f>
        <v>1</v>
      </c>
      <c r="F358" s="16">
        <f>SUMIFS(orders!$M:$M,orders!$C:$C,A358)</f>
        <v>44.55</v>
      </c>
      <c r="G358" s="14" t="str">
        <f>INDEX(orders!$P:$P,MATCH(A358,orders!$C:$C,0))</f>
        <v>Yes</v>
      </c>
      <c r="H358" s="17">
        <f t="shared" si="32"/>
        <v>2</v>
      </c>
      <c r="I358" s="14">
        <f t="shared" si="33"/>
        <v>1</v>
      </c>
      <c r="J358">
        <f t="shared" si="34"/>
        <v>4</v>
      </c>
      <c r="K358" s="14">
        <f t="shared" si="35"/>
        <v>7</v>
      </c>
      <c r="L358" t="str">
        <f t="shared" si="36"/>
        <v>Lapsed One-Time Buyers</v>
      </c>
    </row>
    <row r="359" spans="1:12" x14ac:dyDescent="0.3">
      <c r="A359" s="12" t="s">
        <v>1300</v>
      </c>
      <c r="B359" s="14" t="str">
        <f>INDEX(orders!$F:$F,MATCH(A359,orders!$C:$C,0))</f>
        <v>Winn Keyse</v>
      </c>
      <c r="C359" s="15">
        <f>_xlfn.MAXIFS(orders!$B:$B,orders!$C:$C,A359)</f>
        <v>44265</v>
      </c>
      <c r="D359" s="14">
        <f t="shared" si="31"/>
        <v>528</v>
      </c>
      <c r="E359" s="14">
        <f>COUNTIFS(orders!$C:$C,A359)</f>
        <v>1</v>
      </c>
      <c r="F359" s="16">
        <f>SUMIFS(orders!$M:$M,orders!$C:$C,A359)</f>
        <v>68.309999999999988</v>
      </c>
      <c r="G359" s="14" t="str">
        <f>INDEX(orders!$P:$P,MATCH(A359,orders!$C:$C,0))</f>
        <v>Yes</v>
      </c>
      <c r="H359" s="17">
        <f t="shared" si="32"/>
        <v>3</v>
      </c>
      <c r="I359" s="14">
        <f t="shared" si="33"/>
        <v>1</v>
      </c>
      <c r="J359">
        <f t="shared" si="34"/>
        <v>4</v>
      </c>
      <c r="K359" s="14">
        <f t="shared" si="35"/>
        <v>8</v>
      </c>
      <c r="L359" t="str">
        <f t="shared" si="36"/>
        <v>Standard One-Time Buyers</v>
      </c>
    </row>
    <row r="360" spans="1:12" x14ac:dyDescent="0.3">
      <c r="A360" s="12" t="s">
        <v>1312</v>
      </c>
      <c r="B360" s="14" t="str">
        <f>INDEX(orders!$F:$F,MATCH(A360,orders!$C:$C,0))</f>
        <v>Leonore Francisco</v>
      </c>
      <c r="C360" s="15">
        <f>_xlfn.MAXIFS(orders!$B:$B,orders!$C:$C,A360)</f>
        <v>44024</v>
      </c>
      <c r="D360" s="14">
        <f t="shared" si="31"/>
        <v>769</v>
      </c>
      <c r="E360" s="14">
        <f>COUNTIFS(orders!$C:$C,A360)</f>
        <v>2</v>
      </c>
      <c r="F360" s="16">
        <f>SUMIFS(orders!$M:$M,orders!$C:$C,A360)</f>
        <v>71.150000000000006</v>
      </c>
      <c r="G360" s="14" t="str">
        <f>INDEX(orders!$P:$P,MATCH(A360,orders!$C:$C,0))</f>
        <v>No</v>
      </c>
      <c r="H360" s="17">
        <f t="shared" si="32"/>
        <v>2</v>
      </c>
      <c r="I360" s="14">
        <f t="shared" si="33"/>
        <v>3</v>
      </c>
      <c r="J360">
        <f t="shared" si="34"/>
        <v>4</v>
      </c>
      <c r="K360" s="14">
        <f t="shared" si="35"/>
        <v>9</v>
      </c>
      <c r="L360" t="str">
        <f t="shared" si="36"/>
        <v>At-Risk Repeat Customers</v>
      </c>
    </row>
    <row r="361" spans="1:12" x14ac:dyDescent="0.3">
      <c r="A361" s="12" t="s">
        <v>4124</v>
      </c>
      <c r="B361" s="14" t="str">
        <f>INDEX(orders!$F:$F,MATCH(A361,orders!$C:$C,0))</f>
        <v>Courtney Pallant</v>
      </c>
      <c r="C361" s="15">
        <f>_xlfn.MAXIFS(orders!$B:$B,orders!$C:$C,A361)</f>
        <v>44011</v>
      </c>
      <c r="D361" s="14">
        <f t="shared" si="31"/>
        <v>782</v>
      </c>
      <c r="E361" s="14">
        <f>COUNTIFS(orders!$C:$C,A361)</f>
        <v>1</v>
      </c>
      <c r="F361" s="16">
        <f>SUMIFS(orders!$M:$M,orders!$C:$C,A361)</f>
        <v>102.46499999999997</v>
      </c>
      <c r="G361" s="14" t="str">
        <f>INDEX(orders!$P:$P,MATCH(A361,orders!$C:$C,0))</f>
        <v>Yes</v>
      </c>
      <c r="H361" s="17">
        <f t="shared" si="32"/>
        <v>2</v>
      </c>
      <c r="I361" s="14">
        <f t="shared" si="33"/>
        <v>1</v>
      </c>
      <c r="J361">
        <f t="shared" si="34"/>
        <v>5</v>
      </c>
      <c r="K361" s="14">
        <f t="shared" si="35"/>
        <v>8</v>
      </c>
      <c r="L361" t="str">
        <f t="shared" si="36"/>
        <v>Lapsed One-Time Buyers</v>
      </c>
    </row>
    <row r="362" spans="1:12" x14ac:dyDescent="0.3">
      <c r="A362" s="12" t="s">
        <v>4292</v>
      </c>
      <c r="B362" s="14" t="str">
        <f>INDEX(orders!$F:$F,MATCH(A362,orders!$C:$C,0))</f>
        <v>Hazel Saill</v>
      </c>
      <c r="C362" s="15">
        <f>_xlfn.MAXIFS(orders!$B:$B,orders!$C:$C,A362)</f>
        <v>44118</v>
      </c>
      <c r="D362" s="14">
        <f t="shared" si="31"/>
        <v>675</v>
      </c>
      <c r="E362" s="14">
        <f>COUNTIFS(orders!$C:$C,A362)</f>
        <v>1</v>
      </c>
      <c r="F362" s="16">
        <f>SUMIFS(orders!$M:$M,orders!$C:$C,A362)</f>
        <v>82.5</v>
      </c>
      <c r="G362" s="14" t="str">
        <f>INDEX(orders!$P:$P,MATCH(A362,orders!$C:$C,0))</f>
        <v>Yes</v>
      </c>
      <c r="H362" s="17">
        <f t="shared" si="32"/>
        <v>3</v>
      </c>
      <c r="I362" s="14">
        <f t="shared" si="33"/>
        <v>1</v>
      </c>
      <c r="J362">
        <f t="shared" si="34"/>
        <v>5</v>
      </c>
      <c r="K362" s="14">
        <f t="shared" si="35"/>
        <v>9</v>
      </c>
      <c r="L362" t="str">
        <f t="shared" si="36"/>
        <v>Standard One-Time Buyers</v>
      </c>
    </row>
    <row r="363" spans="1:12" x14ac:dyDescent="0.3">
      <c r="A363" s="12" t="s">
        <v>5726</v>
      </c>
      <c r="B363" s="14" t="str">
        <f>INDEX(orders!$F:$F,MATCH(A363,orders!$C:$C,0))</f>
        <v>Evy Wilsone</v>
      </c>
      <c r="C363" s="15">
        <f>_xlfn.MAXIFS(orders!$B:$B,orders!$C:$C,A363)</f>
        <v>44012</v>
      </c>
      <c r="D363" s="14">
        <f t="shared" si="31"/>
        <v>781</v>
      </c>
      <c r="E363" s="14">
        <f>COUNTIFS(orders!$C:$C,A363)</f>
        <v>1</v>
      </c>
      <c r="F363" s="16">
        <f>SUMIFS(orders!$M:$M,orders!$C:$C,A363)</f>
        <v>33.75</v>
      </c>
      <c r="G363" s="14" t="str">
        <f>INDEX(orders!$P:$P,MATCH(A363,orders!$C:$C,0))</f>
        <v>Yes</v>
      </c>
      <c r="H363" s="17">
        <f t="shared" si="32"/>
        <v>2</v>
      </c>
      <c r="I363" s="14">
        <f t="shared" si="33"/>
        <v>1</v>
      </c>
      <c r="J363">
        <f t="shared" si="34"/>
        <v>3</v>
      </c>
      <c r="K363" s="14">
        <f t="shared" si="35"/>
        <v>6</v>
      </c>
      <c r="L363" t="str">
        <f t="shared" si="36"/>
        <v>Lapsed One-Time Buyers</v>
      </c>
    </row>
    <row r="364" spans="1:12" x14ac:dyDescent="0.3">
      <c r="A364" s="12" t="s">
        <v>4224</v>
      </c>
      <c r="B364" s="14" t="str">
        <f>INDEX(orders!$F:$F,MATCH(A364,orders!$C:$C,0))</f>
        <v>Annie Campsall</v>
      </c>
      <c r="C364" s="15">
        <f>_xlfn.MAXIFS(orders!$B:$B,orders!$C:$C,A364)</f>
        <v>44485</v>
      </c>
      <c r="D364" s="14">
        <f t="shared" si="31"/>
        <v>308</v>
      </c>
      <c r="E364" s="14">
        <f>COUNTIFS(orders!$C:$C,A364)</f>
        <v>1</v>
      </c>
      <c r="F364" s="16">
        <f>SUMIFS(orders!$M:$M,orders!$C:$C,A364)</f>
        <v>20.25</v>
      </c>
      <c r="G364" s="14" t="str">
        <f>INDEX(orders!$P:$P,MATCH(A364,orders!$C:$C,0))</f>
        <v>Yes</v>
      </c>
      <c r="H364" s="17">
        <f t="shared" si="32"/>
        <v>4</v>
      </c>
      <c r="I364" s="14">
        <f t="shared" si="33"/>
        <v>1</v>
      </c>
      <c r="J364">
        <f t="shared" si="34"/>
        <v>2</v>
      </c>
      <c r="K364" s="14">
        <f t="shared" si="35"/>
        <v>7</v>
      </c>
      <c r="L364" t="str">
        <f t="shared" si="36"/>
        <v>Standard One-Time Buyers</v>
      </c>
    </row>
    <row r="365" spans="1:12" x14ac:dyDescent="0.3">
      <c r="A365" s="12" t="s">
        <v>5621</v>
      </c>
      <c r="B365" s="14" t="str">
        <f>INDEX(orders!$F:$F,MATCH(A365,orders!$C:$C,0))</f>
        <v>Tawnya Menary</v>
      </c>
      <c r="C365" s="15">
        <f>_xlfn.MAXIFS(orders!$B:$B,orders!$C:$C,A365)</f>
        <v>44449</v>
      </c>
      <c r="D365" s="14">
        <f t="shared" si="31"/>
        <v>344</v>
      </c>
      <c r="E365" s="14">
        <f>COUNTIFS(orders!$C:$C,A365)</f>
        <v>1</v>
      </c>
      <c r="F365" s="16">
        <f>SUMIFS(orders!$M:$M,orders!$C:$C,A365)</f>
        <v>38.849999999999994</v>
      </c>
      <c r="G365" s="14" t="str">
        <f>INDEX(orders!$P:$P,MATCH(A365,orders!$C:$C,0))</f>
        <v>No</v>
      </c>
      <c r="H365" s="17">
        <f t="shared" si="32"/>
        <v>4</v>
      </c>
      <c r="I365" s="14">
        <f t="shared" si="33"/>
        <v>1</v>
      </c>
      <c r="J365">
        <f t="shared" si="34"/>
        <v>3</v>
      </c>
      <c r="K365" s="14">
        <f t="shared" si="35"/>
        <v>8</v>
      </c>
      <c r="L365" t="str">
        <f t="shared" si="36"/>
        <v>Standard One-Time Buyers</v>
      </c>
    </row>
    <row r="366" spans="1:12" x14ac:dyDescent="0.3">
      <c r="A366" s="12" t="s">
        <v>5063</v>
      </c>
      <c r="B366" s="14" t="str">
        <f>INDEX(orders!$F:$F,MATCH(A366,orders!$C:$C,0))</f>
        <v>Chaddie Bennie</v>
      </c>
      <c r="C366" s="15">
        <f>_xlfn.MAXIFS(orders!$B:$B,orders!$C:$C,A366)</f>
        <v>44235</v>
      </c>
      <c r="D366" s="14">
        <f t="shared" si="31"/>
        <v>558</v>
      </c>
      <c r="E366" s="14">
        <f>COUNTIFS(orders!$C:$C,A366)</f>
        <v>1</v>
      </c>
      <c r="F366" s="16">
        <f>SUMIFS(orders!$M:$M,orders!$C:$C,A366)</f>
        <v>8.0549999999999997</v>
      </c>
      <c r="G366" s="14" t="str">
        <f>INDEX(orders!$P:$P,MATCH(A366,orders!$C:$C,0))</f>
        <v>Yes</v>
      </c>
      <c r="H366" s="17">
        <f t="shared" si="32"/>
        <v>3</v>
      </c>
      <c r="I366" s="14">
        <f t="shared" si="33"/>
        <v>1</v>
      </c>
      <c r="J366">
        <f t="shared" si="34"/>
        <v>1</v>
      </c>
      <c r="K366" s="14">
        <f t="shared" si="35"/>
        <v>5</v>
      </c>
      <c r="L366" t="str">
        <f t="shared" si="36"/>
        <v>Standard One-Time Buyers</v>
      </c>
    </row>
    <row r="367" spans="1:12" x14ac:dyDescent="0.3">
      <c r="A367" s="12" t="s">
        <v>4798</v>
      </c>
      <c r="B367" s="14" t="str">
        <f>INDEX(orders!$F:$F,MATCH(A367,orders!$C:$C,0))</f>
        <v>Sharona Danilchik</v>
      </c>
      <c r="C367" s="15">
        <f>_xlfn.MAXIFS(orders!$B:$B,orders!$C:$C,A367)</f>
        <v>43563</v>
      </c>
      <c r="D367" s="14">
        <f t="shared" si="31"/>
        <v>1230</v>
      </c>
      <c r="E367" s="14">
        <f>COUNTIFS(orders!$C:$C,A367)</f>
        <v>1</v>
      </c>
      <c r="F367" s="16">
        <f>SUMIFS(orders!$M:$M,orders!$C:$C,A367)</f>
        <v>43.650000000000006</v>
      </c>
      <c r="G367" s="14" t="str">
        <f>INDEX(orders!$P:$P,MATCH(A367,orders!$C:$C,0))</f>
        <v>No</v>
      </c>
      <c r="H367" s="17">
        <f t="shared" si="32"/>
        <v>1</v>
      </c>
      <c r="I367" s="14">
        <f t="shared" si="33"/>
        <v>1</v>
      </c>
      <c r="J367">
        <f t="shared" si="34"/>
        <v>4</v>
      </c>
      <c r="K367" s="14">
        <f t="shared" si="35"/>
        <v>6</v>
      </c>
      <c r="L367" t="str">
        <f t="shared" si="36"/>
        <v>Lapsed One-Time Buyers</v>
      </c>
    </row>
    <row r="368" spans="1:12" x14ac:dyDescent="0.3">
      <c r="A368" s="12" t="s">
        <v>5068</v>
      </c>
      <c r="B368" s="14" t="str">
        <f>INDEX(orders!$F:$F,MATCH(A368,orders!$C:$C,0))</f>
        <v>Alberta Balsdone</v>
      </c>
      <c r="C368" s="15">
        <f>_xlfn.MAXIFS(orders!$B:$B,orders!$C:$C,A368)</f>
        <v>44054</v>
      </c>
      <c r="D368" s="14">
        <f t="shared" si="31"/>
        <v>739</v>
      </c>
      <c r="E368" s="14">
        <f>COUNTIFS(orders!$C:$C,A368)</f>
        <v>1</v>
      </c>
      <c r="F368" s="16">
        <f>SUMIFS(orders!$M:$M,orders!$C:$C,A368)</f>
        <v>28.53</v>
      </c>
      <c r="G368" s="14" t="str">
        <f>INDEX(orders!$P:$P,MATCH(A368,orders!$C:$C,0))</f>
        <v>No</v>
      </c>
      <c r="H368" s="17">
        <f t="shared" si="32"/>
        <v>3</v>
      </c>
      <c r="I368" s="14">
        <f t="shared" si="33"/>
        <v>1</v>
      </c>
      <c r="J368">
        <f t="shared" si="34"/>
        <v>3</v>
      </c>
      <c r="K368" s="14">
        <f t="shared" si="35"/>
        <v>7</v>
      </c>
      <c r="L368" t="str">
        <f t="shared" si="36"/>
        <v>Standard One-Time Buyers</v>
      </c>
    </row>
    <row r="369" spans="1:12" x14ac:dyDescent="0.3">
      <c r="A369" s="12" t="s">
        <v>1023</v>
      </c>
      <c r="B369" s="14" t="str">
        <f>INDEX(orders!$F:$F,MATCH(A369,orders!$C:$C,0))</f>
        <v>Norene Magauran</v>
      </c>
      <c r="C369" s="15">
        <f>_xlfn.MAXIFS(orders!$B:$B,orders!$C:$C,A369)</f>
        <v>43816</v>
      </c>
      <c r="D369" s="14">
        <f t="shared" si="31"/>
        <v>977</v>
      </c>
      <c r="E369" s="14">
        <f>COUNTIFS(orders!$C:$C,A369)</f>
        <v>1</v>
      </c>
      <c r="F369" s="16">
        <f>SUMIFS(orders!$M:$M,orders!$C:$C,A369)</f>
        <v>155.24999999999997</v>
      </c>
      <c r="G369" s="14" t="str">
        <f>INDEX(orders!$P:$P,MATCH(A369,orders!$C:$C,0))</f>
        <v>No</v>
      </c>
      <c r="H369" s="17">
        <f t="shared" si="32"/>
        <v>2</v>
      </c>
      <c r="I369" s="14">
        <f t="shared" si="33"/>
        <v>1</v>
      </c>
      <c r="J369">
        <f t="shared" si="34"/>
        <v>5</v>
      </c>
      <c r="K369" s="14">
        <f t="shared" si="35"/>
        <v>8</v>
      </c>
      <c r="L369" t="str">
        <f t="shared" si="36"/>
        <v>Lapsed One-Time Buyers</v>
      </c>
    </row>
    <row r="370" spans="1:12" x14ac:dyDescent="0.3">
      <c r="A370" s="12" t="s">
        <v>5911</v>
      </c>
      <c r="B370" s="14" t="str">
        <f>INDEX(orders!$F:$F,MATCH(A370,orders!$C:$C,0))</f>
        <v>Rhodie Strathern</v>
      </c>
      <c r="C370" s="15">
        <f>_xlfn.MAXIFS(orders!$B:$B,orders!$C:$C,A370)</f>
        <v>44598</v>
      </c>
      <c r="D370" s="14">
        <f t="shared" si="31"/>
        <v>195</v>
      </c>
      <c r="E370" s="14">
        <f>COUNTIFS(orders!$C:$C,A370)</f>
        <v>1</v>
      </c>
      <c r="F370" s="16">
        <f>SUMIFS(orders!$M:$M,orders!$C:$C,A370)</f>
        <v>23.774999999999999</v>
      </c>
      <c r="G370" s="14" t="str">
        <f>INDEX(orders!$P:$P,MATCH(A370,orders!$C:$C,0))</f>
        <v>Yes</v>
      </c>
      <c r="H370" s="17">
        <f t="shared" si="32"/>
        <v>5</v>
      </c>
      <c r="I370" s="14">
        <f t="shared" si="33"/>
        <v>1</v>
      </c>
      <c r="J370">
        <f t="shared" si="34"/>
        <v>2</v>
      </c>
      <c r="K370" s="14">
        <f t="shared" si="35"/>
        <v>8</v>
      </c>
      <c r="L370" t="str">
        <f t="shared" si="36"/>
        <v>Standard One-Time Buyers</v>
      </c>
    </row>
    <row r="371" spans="1:12" x14ac:dyDescent="0.3">
      <c r="A371" s="12" t="s">
        <v>4736</v>
      </c>
      <c r="B371" s="14" t="str">
        <f>INDEX(orders!$F:$F,MATCH(A371,orders!$C:$C,0))</f>
        <v>Vinny Shoebotham</v>
      </c>
      <c r="C371" s="15">
        <f>_xlfn.MAXIFS(orders!$B:$B,orders!$C:$C,A371)</f>
        <v>43847</v>
      </c>
      <c r="D371" s="14">
        <f t="shared" si="31"/>
        <v>946</v>
      </c>
      <c r="E371" s="14">
        <f>COUNTIFS(orders!$C:$C,A371)</f>
        <v>1</v>
      </c>
      <c r="F371" s="16">
        <f>SUMIFS(orders!$M:$M,orders!$C:$C,A371)</f>
        <v>19.02</v>
      </c>
      <c r="G371" s="14" t="str">
        <f>INDEX(orders!$P:$P,MATCH(A371,orders!$C:$C,0))</f>
        <v>No</v>
      </c>
      <c r="H371" s="17">
        <f t="shared" si="32"/>
        <v>2</v>
      </c>
      <c r="I371" s="14">
        <f t="shared" si="33"/>
        <v>1</v>
      </c>
      <c r="J371">
        <f t="shared" si="34"/>
        <v>2</v>
      </c>
      <c r="K371" s="14">
        <f t="shared" si="35"/>
        <v>5</v>
      </c>
      <c r="L371" t="str">
        <f t="shared" si="36"/>
        <v>Lapsed One-Time Buyers</v>
      </c>
    </row>
    <row r="372" spans="1:12" x14ac:dyDescent="0.3">
      <c r="A372" s="12" t="s">
        <v>5247</v>
      </c>
      <c r="B372" s="14" t="str">
        <f>INDEX(orders!$F:$F,MATCH(A372,orders!$C:$C,0))</f>
        <v>Trumaine Tewelson</v>
      </c>
      <c r="C372" s="15">
        <f>_xlfn.MAXIFS(orders!$B:$B,orders!$C:$C,A372)</f>
        <v>44755</v>
      </c>
      <c r="D372" s="14">
        <f t="shared" si="31"/>
        <v>38</v>
      </c>
      <c r="E372" s="14">
        <f>COUNTIFS(orders!$C:$C,A372)</f>
        <v>1</v>
      </c>
      <c r="F372" s="16">
        <f>SUMIFS(orders!$M:$M,orders!$C:$C,A372)</f>
        <v>4.3650000000000002</v>
      </c>
      <c r="G372" s="14" t="str">
        <f>INDEX(orders!$P:$P,MATCH(A372,orders!$C:$C,0))</f>
        <v>No</v>
      </c>
      <c r="H372" s="17">
        <f t="shared" si="32"/>
        <v>5</v>
      </c>
      <c r="I372" s="14">
        <f t="shared" si="33"/>
        <v>1</v>
      </c>
      <c r="J372">
        <f t="shared" si="34"/>
        <v>1</v>
      </c>
      <c r="K372" s="14">
        <f t="shared" si="35"/>
        <v>7</v>
      </c>
      <c r="L372" t="str">
        <f t="shared" si="36"/>
        <v>Standard One-Time Buyers</v>
      </c>
    </row>
    <row r="373" spans="1:12" x14ac:dyDescent="0.3">
      <c r="A373" s="12" t="s">
        <v>3951</v>
      </c>
      <c r="B373" s="14" t="str">
        <f>INDEX(orders!$F:$F,MATCH(A373,orders!$C:$C,0))</f>
        <v>Gunilla Lynch</v>
      </c>
      <c r="C373" s="15">
        <f>_xlfn.MAXIFS(orders!$B:$B,orders!$C:$C,A373)</f>
        <v>43761</v>
      </c>
      <c r="D373" s="14">
        <f t="shared" si="31"/>
        <v>1032</v>
      </c>
      <c r="E373" s="14">
        <f>COUNTIFS(orders!$C:$C,A373)</f>
        <v>1</v>
      </c>
      <c r="F373" s="16">
        <f>SUMIFS(orders!$M:$M,orders!$C:$C,A373)</f>
        <v>5.97</v>
      </c>
      <c r="G373" s="14" t="str">
        <f>INDEX(orders!$P:$P,MATCH(A373,orders!$C:$C,0))</f>
        <v>No</v>
      </c>
      <c r="H373" s="17">
        <f t="shared" si="32"/>
        <v>2</v>
      </c>
      <c r="I373" s="14">
        <f t="shared" si="33"/>
        <v>1</v>
      </c>
      <c r="J373">
        <f t="shared" si="34"/>
        <v>1</v>
      </c>
      <c r="K373" s="14">
        <f t="shared" si="35"/>
        <v>4</v>
      </c>
      <c r="L373" t="str">
        <f t="shared" si="36"/>
        <v>Lapsed One-Time Buyers</v>
      </c>
    </row>
    <row r="374" spans="1:12" x14ac:dyDescent="0.3">
      <c r="A374" s="12" t="s">
        <v>1855</v>
      </c>
      <c r="B374" s="14" t="str">
        <f>INDEX(orders!$F:$F,MATCH(A374,orders!$C:$C,0))</f>
        <v>Sibella Rushbrooke</v>
      </c>
      <c r="C374" s="15">
        <f>_xlfn.MAXIFS(orders!$B:$B,orders!$C:$C,A374)</f>
        <v>43918</v>
      </c>
      <c r="D374" s="14">
        <f t="shared" si="31"/>
        <v>875</v>
      </c>
      <c r="E374" s="14">
        <f>COUNTIFS(orders!$C:$C,A374)</f>
        <v>1</v>
      </c>
      <c r="F374" s="16">
        <f>SUMIFS(orders!$M:$M,orders!$C:$C,A374)</f>
        <v>36.450000000000003</v>
      </c>
      <c r="G374" s="14" t="str">
        <f>INDEX(orders!$P:$P,MATCH(A374,orders!$C:$C,0))</f>
        <v>Yes</v>
      </c>
      <c r="H374" s="17">
        <f t="shared" si="32"/>
        <v>2</v>
      </c>
      <c r="I374" s="14">
        <f t="shared" si="33"/>
        <v>1</v>
      </c>
      <c r="J374">
        <f t="shared" si="34"/>
        <v>3</v>
      </c>
      <c r="K374" s="14">
        <f t="shared" si="35"/>
        <v>6</v>
      </c>
      <c r="L374" t="str">
        <f t="shared" si="36"/>
        <v>Lapsed One-Time Buyers</v>
      </c>
    </row>
    <row r="375" spans="1:12" x14ac:dyDescent="0.3">
      <c r="A375" s="12" t="s">
        <v>3878</v>
      </c>
      <c r="B375" s="14" t="str">
        <f>INDEX(orders!$F:$F,MATCH(A375,orders!$C:$C,0))</f>
        <v>Peyter Lauritzen</v>
      </c>
      <c r="C375" s="15">
        <f>_xlfn.MAXIFS(orders!$B:$B,orders!$C:$C,A375)</f>
        <v>44492</v>
      </c>
      <c r="D375" s="14">
        <f t="shared" si="31"/>
        <v>301</v>
      </c>
      <c r="E375" s="14">
        <f>COUNTIFS(orders!$C:$C,A375)</f>
        <v>1</v>
      </c>
      <c r="F375" s="16">
        <f>SUMIFS(orders!$M:$M,orders!$C:$C,A375)</f>
        <v>7.77</v>
      </c>
      <c r="G375" s="14" t="str">
        <f>INDEX(orders!$P:$P,MATCH(A375,orders!$C:$C,0))</f>
        <v>No</v>
      </c>
      <c r="H375" s="17">
        <f t="shared" si="32"/>
        <v>4</v>
      </c>
      <c r="I375" s="14">
        <f t="shared" si="33"/>
        <v>1</v>
      </c>
      <c r="J375">
        <f t="shared" si="34"/>
        <v>1</v>
      </c>
      <c r="K375" s="14">
        <f t="shared" si="35"/>
        <v>6</v>
      </c>
      <c r="L375" t="str">
        <f t="shared" si="36"/>
        <v>Standard One-Time Buyers</v>
      </c>
    </row>
    <row r="376" spans="1:12" x14ac:dyDescent="0.3">
      <c r="A376" s="12" t="s">
        <v>5165</v>
      </c>
      <c r="B376" s="14" t="str">
        <f>INDEX(orders!$F:$F,MATCH(A376,orders!$C:$C,0))</f>
        <v>Ibby Charters</v>
      </c>
      <c r="C376" s="15">
        <f>_xlfn.MAXIFS(orders!$B:$B,orders!$C:$C,A376)</f>
        <v>44540</v>
      </c>
      <c r="D376" s="14">
        <f t="shared" si="31"/>
        <v>253</v>
      </c>
      <c r="E376" s="14">
        <f>COUNTIFS(orders!$C:$C,A376)</f>
        <v>1</v>
      </c>
      <c r="F376" s="16">
        <f>SUMIFS(orders!$M:$M,orders!$C:$C,A376)</f>
        <v>20.625</v>
      </c>
      <c r="G376" s="14" t="str">
        <f>INDEX(orders!$P:$P,MATCH(A376,orders!$C:$C,0))</f>
        <v>No</v>
      </c>
      <c r="H376" s="17">
        <f t="shared" si="32"/>
        <v>5</v>
      </c>
      <c r="I376" s="14">
        <f t="shared" si="33"/>
        <v>1</v>
      </c>
      <c r="J376">
        <f t="shared" si="34"/>
        <v>2</v>
      </c>
      <c r="K376" s="14">
        <f t="shared" si="35"/>
        <v>8</v>
      </c>
      <c r="L376" t="str">
        <f t="shared" si="36"/>
        <v>Standard One-Time Buyers</v>
      </c>
    </row>
    <row r="377" spans="1:12" x14ac:dyDescent="0.3">
      <c r="A377" s="12" t="s">
        <v>2678</v>
      </c>
      <c r="B377" s="14" t="str">
        <f>INDEX(orders!$F:$F,MATCH(A377,orders!$C:$C,0))</f>
        <v>Maisie Sarvar</v>
      </c>
      <c r="C377" s="15">
        <f>_xlfn.MAXIFS(orders!$B:$B,orders!$C:$C,A377)</f>
        <v>44130</v>
      </c>
      <c r="D377" s="14">
        <f t="shared" si="31"/>
        <v>663</v>
      </c>
      <c r="E377" s="14">
        <f>COUNTIFS(orders!$C:$C,A377)</f>
        <v>1</v>
      </c>
      <c r="F377" s="16">
        <f>SUMIFS(orders!$M:$M,orders!$C:$C,A377)</f>
        <v>11.654999999999999</v>
      </c>
      <c r="G377" s="14" t="str">
        <f>INDEX(orders!$P:$P,MATCH(A377,orders!$C:$C,0))</f>
        <v>Yes</v>
      </c>
      <c r="H377" s="17">
        <f t="shared" si="32"/>
        <v>3</v>
      </c>
      <c r="I377" s="14">
        <f t="shared" si="33"/>
        <v>1</v>
      </c>
      <c r="J377">
        <f t="shared" si="34"/>
        <v>1</v>
      </c>
      <c r="K377" s="14">
        <f t="shared" si="35"/>
        <v>5</v>
      </c>
      <c r="L377" t="str">
        <f t="shared" si="36"/>
        <v>Standard One-Time Buyers</v>
      </c>
    </row>
    <row r="378" spans="1:12" x14ac:dyDescent="0.3">
      <c r="A378" s="12" t="s">
        <v>3083</v>
      </c>
      <c r="B378" s="14" t="str">
        <f>INDEX(orders!$F:$F,MATCH(A378,orders!$C:$C,0))</f>
        <v>Alvis Elwin</v>
      </c>
      <c r="C378" s="15">
        <f>_xlfn.MAXIFS(orders!$B:$B,orders!$C:$C,A378)</f>
        <v>43840</v>
      </c>
      <c r="D378" s="14">
        <f t="shared" si="31"/>
        <v>953</v>
      </c>
      <c r="E378" s="14">
        <f>COUNTIFS(orders!$C:$C,A378)</f>
        <v>1</v>
      </c>
      <c r="F378" s="16">
        <f>SUMIFS(orders!$M:$M,orders!$C:$C,A378)</f>
        <v>23.774999999999999</v>
      </c>
      <c r="G378" s="14" t="str">
        <f>INDEX(orders!$P:$P,MATCH(A378,orders!$C:$C,0))</f>
        <v>No</v>
      </c>
      <c r="H378" s="17">
        <f t="shared" si="32"/>
        <v>2</v>
      </c>
      <c r="I378" s="14">
        <f t="shared" si="33"/>
        <v>1</v>
      </c>
      <c r="J378">
        <f t="shared" si="34"/>
        <v>2</v>
      </c>
      <c r="K378" s="14">
        <f t="shared" si="35"/>
        <v>5</v>
      </c>
      <c r="L378" t="str">
        <f t="shared" si="36"/>
        <v>Lapsed One-Time Buyers</v>
      </c>
    </row>
    <row r="379" spans="1:12" x14ac:dyDescent="0.3">
      <c r="A379" s="12" t="s">
        <v>873</v>
      </c>
      <c r="B379" s="14" t="str">
        <f>INDEX(orders!$F:$F,MATCH(A379,orders!$C:$C,0))</f>
        <v>Hayward Goulter</v>
      </c>
      <c r="C379" s="15">
        <f>_xlfn.MAXIFS(orders!$B:$B,orders!$C:$C,A379)</f>
        <v>43754</v>
      </c>
      <c r="D379" s="14">
        <f t="shared" si="31"/>
        <v>1039</v>
      </c>
      <c r="E379" s="14">
        <f>COUNTIFS(orders!$C:$C,A379)</f>
        <v>1</v>
      </c>
      <c r="F379" s="16">
        <f>SUMIFS(orders!$M:$M,orders!$C:$C,A379)</f>
        <v>2.9849999999999999</v>
      </c>
      <c r="G379" s="14" t="str">
        <f>INDEX(orders!$P:$P,MATCH(A379,orders!$C:$C,0))</f>
        <v>No</v>
      </c>
      <c r="H379" s="17">
        <f t="shared" si="32"/>
        <v>2</v>
      </c>
      <c r="I379" s="14">
        <f t="shared" si="33"/>
        <v>1</v>
      </c>
      <c r="J379">
        <f t="shared" si="34"/>
        <v>1</v>
      </c>
      <c r="K379" s="14">
        <f t="shared" si="35"/>
        <v>4</v>
      </c>
      <c r="L379" t="str">
        <f t="shared" si="36"/>
        <v>Lapsed One-Time Buyers</v>
      </c>
    </row>
    <row r="380" spans="1:12" x14ac:dyDescent="0.3">
      <c r="A380" s="12" t="s">
        <v>6112</v>
      </c>
      <c r="B380" s="14" t="str">
        <f>INDEX(orders!$F:$F,MATCH(A380,orders!$C:$C,0))</f>
        <v>Jennica Tewelson</v>
      </c>
      <c r="C380" s="15">
        <f>_xlfn.MAXIFS(orders!$B:$B,orders!$C:$C,A380)</f>
        <v>43836</v>
      </c>
      <c r="D380" s="14">
        <f t="shared" si="31"/>
        <v>957</v>
      </c>
      <c r="E380" s="14">
        <f>COUNTIFS(orders!$C:$C,A380)</f>
        <v>1</v>
      </c>
      <c r="F380" s="16">
        <f>SUMIFS(orders!$M:$M,orders!$C:$C,A380)</f>
        <v>27.484999999999996</v>
      </c>
      <c r="G380" s="14" t="str">
        <f>INDEX(orders!$P:$P,MATCH(A380,orders!$C:$C,0))</f>
        <v>No</v>
      </c>
      <c r="H380" s="17">
        <f t="shared" si="32"/>
        <v>2</v>
      </c>
      <c r="I380" s="14">
        <f t="shared" si="33"/>
        <v>1</v>
      </c>
      <c r="J380">
        <f t="shared" si="34"/>
        <v>3</v>
      </c>
      <c r="K380" s="14">
        <f t="shared" si="35"/>
        <v>6</v>
      </c>
      <c r="L380" t="str">
        <f t="shared" si="36"/>
        <v>Lapsed One-Time Buyers</v>
      </c>
    </row>
    <row r="381" spans="1:12" x14ac:dyDescent="0.3">
      <c r="A381" s="12" t="s">
        <v>1465</v>
      </c>
      <c r="B381" s="14" t="str">
        <f>INDEX(orders!$F:$F,MATCH(A381,orders!$C:$C,0))</f>
        <v>Oran Colbeck</v>
      </c>
      <c r="C381" s="15">
        <f>_xlfn.MAXIFS(orders!$B:$B,orders!$C:$C,A381)</f>
        <v>44720</v>
      </c>
      <c r="D381" s="14">
        <f t="shared" si="31"/>
        <v>73</v>
      </c>
      <c r="E381" s="14">
        <f>COUNTIFS(orders!$C:$C,A381)</f>
        <v>1</v>
      </c>
      <c r="F381" s="16">
        <f>SUMIFS(orders!$M:$M,orders!$C:$C,A381)</f>
        <v>91.539999999999992</v>
      </c>
      <c r="G381" s="14" t="str">
        <f>INDEX(orders!$P:$P,MATCH(A381,orders!$C:$C,0))</f>
        <v>No</v>
      </c>
      <c r="H381" s="17">
        <f t="shared" si="32"/>
        <v>5</v>
      </c>
      <c r="I381" s="14">
        <f t="shared" si="33"/>
        <v>1</v>
      </c>
      <c r="J381">
        <f t="shared" si="34"/>
        <v>5</v>
      </c>
      <c r="K381" s="14">
        <f t="shared" si="35"/>
        <v>11</v>
      </c>
      <c r="L381" t="str">
        <f t="shared" si="36"/>
        <v>Recent High-Value (One-Time)</v>
      </c>
    </row>
    <row r="382" spans="1:12" x14ac:dyDescent="0.3">
      <c r="A382" s="12" t="s">
        <v>3725</v>
      </c>
      <c r="B382" s="14" t="str">
        <f>INDEX(orders!$F:$F,MATCH(A382,orders!$C:$C,0))</f>
        <v>Herbie Peppard</v>
      </c>
      <c r="C382" s="15">
        <f>_xlfn.MAXIFS(orders!$B:$B,orders!$C:$C,A382)</f>
        <v>43515</v>
      </c>
      <c r="D382" s="14">
        <f t="shared" si="31"/>
        <v>1278</v>
      </c>
      <c r="E382" s="14">
        <f>COUNTIFS(orders!$C:$C,A382)</f>
        <v>1</v>
      </c>
      <c r="F382" s="16">
        <f>SUMIFS(orders!$M:$M,orders!$C:$C,A382)</f>
        <v>5.97</v>
      </c>
      <c r="G382" s="14" t="str">
        <f>INDEX(orders!$P:$P,MATCH(A382,orders!$C:$C,0))</f>
        <v>Yes</v>
      </c>
      <c r="H382" s="17">
        <f t="shared" si="32"/>
        <v>1</v>
      </c>
      <c r="I382" s="14">
        <f t="shared" si="33"/>
        <v>1</v>
      </c>
      <c r="J382">
        <f t="shared" si="34"/>
        <v>1</v>
      </c>
      <c r="K382" s="14">
        <f t="shared" si="35"/>
        <v>3</v>
      </c>
      <c r="L382" t="str">
        <f t="shared" si="36"/>
        <v>Lapsed One-Time Buyers</v>
      </c>
    </row>
    <row r="383" spans="1:12" x14ac:dyDescent="0.3">
      <c r="A383" s="12" t="s">
        <v>2331</v>
      </c>
      <c r="B383" s="14" t="str">
        <f>INDEX(orders!$F:$F,MATCH(A383,orders!$C:$C,0))</f>
        <v>Flynn Antony</v>
      </c>
      <c r="C383" s="15">
        <f>_xlfn.MAXIFS(orders!$B:$B,orders!$C:$C,A383)</f>
        <v>44472</v>
      </c>
      <c r="D383" s="14">
        <f t="shared" si="31"/>
        <v>321</v>
      </c>
      <c r="E383" s="14">
        <f>COUNTIFS(orders!$C:$C,A383)</f>
        <v>4</v>
      </c>
      <c r="F383" s="16">
        <f>SUMIFS(orders!$M:$M,orders!$C:$C,A383)</f>
        <v>160.4</v>
      </c>
      <c r="G383" s="14" t="str">
        <f>INDEX(orders!$P:$P,MATCH(A383,orders!$C:$C,0))</f>
        <v>No</v>
      </c>
      <c r="H383" s="17">
        <f t="shared" si="32"/>
        <v>4</v>
      </c>
      <c r="I383" s="14">
        <f t="shared" si="33"/>
        <v>5</v>
      </c>
      <c r="J383">
        <f t="shared" si="34"/>
        <v>5</v>
      </c>
      <c r="K383" s="14">
        <f t="shared" si="35"/>
        <v>14</v>
      </c>
      <c r="L383" t="str">
        <f t="shared" si="36"/>
        <v>Loyal Repeat Customers</v>
      </c>
    </row>
    <row r="384" spans="1:12" x14ac:dyDescent="0.3">
      <c r="A384" s="12" t="s">
        <v>4859</v>
      </c>
      <c r="B384" s="14" t="str">
        <f>INDEX(orders!$F:$F,MATCH(A384,orders!$C:$C,0))</f>
        <v>Alva Filipczak</v>
      </c>
      <c r="C384" s="15">
        <f>_xlfn.MAXIFS(orders!$B:$B,orders!$C:$C,A384)</f>
        <v>44488</v>
      </c>
      <c r="D384" s="14">
        <f t="shared" si="31"/>
        <v>305</v>
      </c>
      <c r="E384" s="14">
        <f>COUNTIFS(orders!$C:$C,A384)</f>
        <v>1</v>
      </c>
      <c r="F384" s="16">
        <f>SUMIFS(orders!$M:$M,orders!$C:$C,A384)</f>
        <v>8.73</v>
      </c>
      <c r="G384" s="14" t="str">
        <f>INDEX(orders!$P:$P,MATCH(A384,orders!$C:$C,0))</f>
        <v>No</v>
      </c>
      <c r="H384" s="17">
        <f t="shared" si="32"/>
        <v>4</v>
      </c>
      <c r="I384" s="14">
        <f t="shared" si="33"/>
        <v>1</v>
      </c>
      <c r="J384">
        <f t="shared" si="34"/>
        <v>1</v>
      </c>
      <c r="K384" s="14">
        <f t="shared" si="35"/>
        <v>6</v>
      </c>
      <c r="L384" t="str">
        <f t="shared" si="36"/>
        <v>Standard One-Time Buyers</v>
      </c>
    </row>
    <row r="385" spans="1:12" x14ac:dyDescent="0.3">
      <c r="A385" s="12" t="s">
        <v>2645</v>
      </c>
      <c r="B385" s="14" t="str">
        <f>INDEX(orders!$F:$F,MATCH(A385,orders!$C:$C,0))</f>
        <v>Elka Windress</v>
      </c>
      <c r="C385" s="15">
        <f>_xlfn.MAXIFS(orders!$B:$B,orders!$C:$C,A385)</f>
        <v>43840</v>
      </c>
      <c r="D385" s="14">
        <f t="shared" si="31"/>
        <v>953</v>
      </c>
      <c r="E385" s="14">
        <f>COUNTIFS(orders!$C:$C,A385)</f>
        <v>1</v>
      </c>
      <c r="F385" s="16">
        <f>SUMIFS(orders!$M:$M,orders!$C:$C,A385)</f>
        <v>21.87</v>
      </c>
      <c r="G385" s="14" t="str">
        <f>INDEX(orders!$P:$P,MATCH(A385,orders!$C:$C,0))</f>
        <v>No</v>
      </c>
      <c r="H385" s="17">
        <f t="shared" si="32"/>
        <v>2</v>
      </c>
      <c r="I385" s="14">
        <f t="shared" si="33"/>
        <v>1</v>
      </c>
      <c r="J385">
        <f t="shared" si="34"/>
        <v>2</v>
      </c>
      <c r="K385" s="14">
        <f t="shared" si="35"/>
        <v>5</v>
      </c>
      <c r="L385" t="str">
        <f t="shared" si="36"/>
        <v>Lapsed One-Time Buyers</v>
      </c>
    </row>
    <row r="386" spans="1:12" x14ac:dyDescent="0.3">
      <c r="A386" s="12" t="s">
        <v>3414</v>
      </c>
      <c r="B386" s="14" t="str">
        <f>INDEX(orders!$F:$F,MATCH(A386,orders!$C:$C,0))</f>
        <v>Channa Belamy</v>
      </c>
      <c r="C386" s="15">
        <f>_xlfn.MAXIFS(orders!$B:$B,orders!$C:$C,A386)</f>
        <v>44678</v>
      </c>
      <c r="D386" s="14">
        <f t="shared" si="31"/>
        <v>115</v>
      </c>
      <c r="E386" s="14">
        <f>COUNTIFS(orders!$C:$C,A386)</f>
        <v>1</v>
      </c>
      <c r="F386" s="16">
        <f>SUMIFS(orders!$M:$M,orders!$C:$C,A386)</f>
        <v>7.77</v>
      </c>
      <c r="G386" s="14" t="str">
        <f>INDEX(orders!$P:$P,MATCH(A386,orders!$C:$C,0))</f>
        <v>No</v>
      </c>
      <c r="H386" s="17">
        <f t="shared" si="32"/>
        <v>5</v>
      </c>
      <c r="I386" s="14">
        <f t="shared" si="33"/>
        <v>1</v>
      </c>
      <c r="J386">
        <f t="shared" si="34"/>
        <v>1</v>
      </c>
      <c r="K386" s="14">
        <f t="shared" si="35"/>
        <v>7</v>
      </c>
      <c r="L386" t="str">
        <f t="shared" si="36"/>
        <v>Standard One-Time Buyers</v>
      </c>
    </row>
    <row r="387" spans="1:12" x14ac:dyDescent="0.3">
      <c r="A387" s="12" t="s">
        <v>2033</v>
      </c>
      <c r="B387" s="14" t="str">
        <f>INDEX(orders!$F:$F,MATCH(A387,orders!$C:$C,0))</f>
        <v>Warner Maddox</v>
      </c>
      <c r="C387" s="15">
        <f>_xlfn.MAXIFS(orders!$B:$B,orders!$C:$C,A387)</f>
        <v>44681</v>
      </c>
      <c r="D387" s="14">
        <f t="shared" si="31"/>
        <v>112</v>
      </c>
      <c r="E387" s="14">
        <f>COUNTIFS(orders!$C:$C,A387)</f>
        <v>1</v>
      </c>
      <c r="F387" s="16">
        <f>SUMIFS(orders!$M:$M,orders!$C:$C,A387)</f>
        <v>7.77</v>
      </c>
      <c r="G387" s="14" t="str">
        <f>INDEX(orders!$P:$P,MATCH(A387,orders!$C:$C,0))</f>
        <v>No</v>
      </c>
      <c r="H387" s="17">
        <f t="shared" si="32"/>
        <v>5</v>
      </c>
      <c r="I387" s="14">
        <f t="shared" si="33"/>
        <v>1</v>
      </c>
      <c r="J387">
        <f t="shared" si="34"/>
        <v>1</v>
      </c>
      <c r="K387" s="14">
        <f t="shared" si="35"/>
        <v>7</v>
      </c>
      <c r="L387" t="str">
        <f t="shared" si="36"/>
        <v>Standard One-Time Buyers</v>
      </c>
    </row>
    <row r="388" spans="1:12" x14ac:dyDescent="0.3">
      <c r="A388" s="12" t="s">
        <v>2845</v>
      </c>
      <c r="B388" s="14" t="str">
        <f>INDEX(orders!$F:$F,MATCH(A388,orders!$C:$C,0))</f>
        <v>Broderick McGilvra</v>
      </c>
      <c r="C388" s="15">
        <f>_xlfn.MAXIFS(orders!$B:$B,orders!$C:$C,A388)</f>
        <v>44142</v>
      </c>
      <c r="D388" s="14">
        <f t="shared" si="31"/>
        <v>651</v>
      </c>
      <c r="E388" s="14">
        <f>COUNTIFS(orders!$C:$C,A388)</f>
        <v>1</v>
      </c>
      <c r="F388" s="16">
        <f>SUMIFS(orders!$M:$M,orders!$C:$C,A388)</f>
        <v>148.92499999999998</v>
      </c>
      <c r="G388" s="14" t="str">
        <f>INDEX(orders!$P:$P,MATCH(A388,orders!$C:$C,0))</f>
        <v>Yes</v>
      </c>
      <c r="H388" s="17">
        <f t="shared" si="32"/>
        <v>3</v>
      </c>
      <c r="I388" s="14">
        <f t="shared" si="33"/>
        <v>1</v>
      </c>
      <c r="J388">
        <f t="shared" si="34"/>
        <v>5</v>
      </c>
      <c r="K388" s="14">
        <f t="shared" si="35"/>
        <v>9</v>
      </c>
      <c r="L388" t="str">
        <f t="shared" si="36"/>
        <v>Standard One-Time Buyers</v>
      </c>
    </row>
    <row r="389" spans="1:12" x14ac:dyDescent="0.3">
      <c r="A389" s="12" t="s">
        <v>4771</v>
      </c>
      <c r="B389" s="14" t="str">
        <f>INDEX(orders!$F:$F,MATCH(A389,orders!$C:$C,0))</f>
        <v>Dorotea Hollyman</v>
      </c>
      <c r="C389" s="15">
        <f>_xlfn.MAXIFS(orders!$B:$B,orders!$C:$C,A389)</f>
        <v>43977</v>
      </c>
      <c r="D389" s="14">
        <f t="shared" si="31"/>
        <v>816</v>
      </c>
      <c r="E389" s="14">
        <f>COUNTIFS(orders!$C:$C,A389)</f>
        <v>1</v>
      </c>
      <c r="F389" s="16">
        <f>SUMIFS(orders!$M:$M,orders!$C:$C,A389)</f>
        <v>17.91</v>
      </c>
      <c r="G389" s="14" t="str">
        <f>INDEX(orders!$P:$P,MATCH(A389,orders!$C:$C,0))</f>
        <v>Yes</v>
      </c>
      <c r="H389" s="17">
        <f t="shared" si="32"/>
        <v>2</v>
      </c>
      <c r="I389" s="14">
        <f t="shared" si="33"/>
        <v>1</v>
      </c>
      <c r="J389">
        <f t="shared" si="34"/>
        <v>2</v>
      </c>
      <c r="K389" s="14">
        <f t="shared" si="35"/>
        <v>5</v>
      </c>
      <c r="L389" t="str">
        <f t="shared" si="36"/>
        <v>Lapsed One-Time Buyers</v>
      </c>
    </row>
    <row r="390" spans="1:12" x14ac:dyDescent="0.3">
      <c r="A390" s="12" t="s">
        <v>2740</v>
      </c>
      <c r="B390" s="14" t="str">
        <f>INDEX(orders!$F:$F,MATCH(A390,orders!$C:$C,0))</f>
        <v>Ingelbert Hotchkin</v>
      </c>
      <c r="C390" s="15">
        <f>_xlfn.MAXIFS(orders!$B:$B,orders!$C:$C,A390)</f>
        <v>43539</v>
      </c>
      <c r="D390" s="14">
        <f t="shared" ref="D390:D453" si="37">$B$1-C390</f>
        <v>1254</v>
      </c>
      <c r="E390" s="14">
        <f>COUNTIFS(orders!$C:$C,A390)</f>
        <v>1</v>
      </c>
      <c r="F390" s="16">
        <f>SUMIFS(orders!$M:$M,orders!$C:$C,A390)</f>
        <v>167.67000000000002</v>
      </c>
      <c r="G390" s="14" t="str">
        <f>INDEX(orders!$P:$P,MATCH(A390,orders!$C:$C,0))</f>
        <v>No</v>
      </c>
      <c r="H390" s="17">
        <f t="shared" ref="H390:H453" si="38">IF(D390&lt;=$E$1,5,IF(D390&lt;=$F$1,4,IF(D390&lt;=$G$1,3,IF(D390&lt;=$H$1,2,1))))</f>
        <v>1</v>
      </c>
      <c r="I390" s="14">
        <f t="shared" ref="I390:I453" si="39">IF(E390&lt;=1,1,IF(E390&lt;=2,3,5))</f>
        <v>1</v>
      </c>
      <c r="J390">
        <f t="shared" ref="J390:J453" si="40">IF(F390&lt;=PERCENTILE($F$5:$F$917,0.2),1,IF(F390&lt;=PERCENTILE($F$5:$F$917,0.4),2,IF(F390&lt;=PERCENTILE($F$5:$F$917,0.6),3,IF(F390&lt;=PERCENTILE($F$5:$F$917,0.8),4,5))))</f>
        <v>5</v>
      </c>
      <c r="K390" s="14">
        <f t="shared" ref="K390:K453" si="41">H390+I390+J390</f>
        <v>7</v>
      </c>
      <c r="L390" t="str">
        <f t="shared" ref="L390:L453" si="42">IF(AND(E390&gt;=2,H390&gt;=4),"Loyal Repeat Customers",IF(E390&gt;=2,"At-Risk Repeat Customers",IF(AND(H390&gt;=4,J390&gt;=4),"Recent High-Value (One-Time)",IF(H390&lt;=2,"Lapsed One-Time Buyers","Standard One-Time Buyers"))))</f>
        <v>Lapsed One-Time Buyers</v>
      </c>
    </row>
    <row r="391" spans="1:12" x14ac:dyDescent="0.3">
      <c r="A391" s="12" t="s">
        <v>5604</v>
      </c>
      <c r="B391" s="14" t="str">
        <f>INDEX(orders!$F:$F,MATCH(A391,orders!$C:$C,0))</f>
        <v>Dorey Sopper</v>
      </c>
      <c r="C391" s="15">
        <f>_xlfn.MAXIFS(orders!$B:$B,orders!$C:$C,A391)</f>
        <v>44463</v>
      </c>
      <c r="D391" s="14">
        <f t="shared" si="37"/>
        <v>330</v>
      </c>
      <c r="E391" s="14">
        <f>COUNTIFS(orders!$C:$C,A391)</f>
        <v>1</v>
      </c>
      <c r="F391" s="16">
        <f>SUMIFS(orders!$M:$M,orders!$C:$C,A391)</f>
        <v>148.92499999999998</v>
      </c>
      <c r="G391" s="14" t="str">
        <f>INDEX(orders!$P:$P,MATCH(A391,orders!$C:$C,0))</f>
        <v>No</v>
      </c>
      <c r="H391" s="17">
        <f t="shared" si="38"/>
        <v>4</v>
      </c>
      <c r="I391" s="14">
        <f t="shared" si="39"/>
        <v>1</v>
      </c>
      <c r="J391">
        <f t="shared" si="40"/>
        <v>5</v>
      </c>
      <c r="K391" s="14">
        <f t="shared" si="41"/>
        <v>10</v>
      </c>
      <c r="L391" t="str">
        <f t="shared" si="42"/>
        <v>Recent High-Value (One-Time)</v>
      </c>
    </row>
    <row r="392" spans="1:12" x14ac:dyDescent="0.3">
      <c r="A392" s="12" t="s">
        <v>2516</v>
      </c>
      <c r="B392" s="14" t="str">
        <f>INDEX(orders!$F:$F,MATCH(A392,orders!$C:$C,0))</f>
        <v>Yuma Skipsey</v>
      </c>
      <c r="C392" s="15">
        <f>_xlfn.MAXIFS(orders!$B:$B,orders!$C:$C,A392)</f>
        <v>43563</v>
      </c>
      <c r="D392" s="14">
        <f t="shared" si="37"/>
        <v>1230</v>
      </c>
      <c r="E392" s="14">
        <f>COUNTIFS(orders!$C:$C,A392)</f>
        <v>1</v>
      </c>
      <c r="F392" s="16">
        <f>SUMIFS(orders!$M:$M,orders!$C:$C,A392)</f>
        <v>21.509999999999998</v>
      </c>
      <c r="G392" s="14" t="str">
        <f>INDEX(orders!$P:$P,MATCH(A392,orders!$C:$C,0))</f>
        <v>No</v>
      </c>
      <c r="H392" s="17">
        <f t="shared" si="38"/>
        <v>1</v>
      </c>
      <c r="I392" s="14">
        <f t="shared" si="39"/>
        <v>1</v>
      </c>
      <c r="J392">
        <f t="shared" si="40"/>
        <v>2</v>
      </c>
      <c r="K392" s="14">
        <f t="shared" si="41"/>
        <v>4</v>
      </c>
      <c r="L392" t="str">
        <f t="shared" si="42"/>
        <v>Lapsed One-Time Buyers</v>
      </c>
    </row>
    <row r="393" spans="1:12" x14ac:dyDescent="0.3">
      <c r="A393" s="12" t="s">
        <v>2488</v>
      </c>
      <c r="B393" s="14" t="str">
        <f>INDEX(orders!$F:$F,MATCH(A393,orders!$C:$C,0))</f>
        <v>Jodee Caldicott</v>
      </c>
      <c r="C393" s="15">
        <f>_xlfn.MAXIFS(orders!$B:$B,orders!$C:$C,A393)</f>
        <v>43876</v>
      </c>
      <c r="D393" s="14">
        <f t="shared" si="37"/>
        <v>917</v>
      </c>
      <c r="E393" s="14">
        <f>COUNTIFS(orders!$C:$C,A393)</f>
        <v>1</v>
      </c>
      <c r="F393" s="16">
        <f>SUMIFS(orders!$M:$M,orders!$C:$C,A393)</f>
        <v>155.24999999999997</v>
      </c>
      <c r="G393" s="14" t="str">
        <f>INDEX(orders!$P:$P,MATCH(A393,orders!$C:$C,0))</f>
        <v>No</v>
      </c>
      <c r="H393" s="17">
        <f t="shared" si="38"/>
        <v>2</v>
      </c>
      <c r="I393" s="14">
        <f t="shared" si="39"/>
        <v>1</v>
      </c>
      <c r="J393">
        <f t="shared" si="40"/>
        <v>5</v>
      </c>
      <c r="K393" s="14">
        <f t="shared" si="41"/>
        <v>8</v>
      </c>
      <c r="L393" t="str">
        <f t="shared" si="42"/>
        <v>Lapsed One-Time Buyers</v>
      </c>
    </row>
    <row r="394" spans="1:12" x14ac:dyDescent="0.3">
      <c r="A394" s="12" t="s">
        <v>5754</v>
      </c>
      <c r="B394" s="14" t="str">
        <f>INDEX(orders!$F:$F,MATCH(A394,orders!$C:$C,0))</f>
        <v>Mallory Shrimpling</v>
      </c>
      <c r="C394" s="15">
        <f>_xlfn.MAXIFS(orders!$B:$B,orders!$C:$C,A394)</f>
        <v>44607</v>
      </c>
      <c r="D394" s="14">
        <f t="shared" si="37"/>
        <v>186</v>
      </c>
      <c r="E394" s="14">
        <f>COUNTIFS(orders!$C:$C,A394)</f>
        <v>1</v>
      </c>
      <c r="F394" s="16">
        <f>SUMIFS(orders!$M:$M,orders!$C:$C,A394)</f>
        <v>23.88</v>
      </c>
      <c r="G394" s="14" t="str">
        <f>INDEX(orders!$P:$P,MATCH(A394,orders!$C:$C,0))</f>
        <v>Yes</v>
      </c>
      <c r="H394" s="17">
        <f t="shared" si="38"/>
        <v>5</v>
      </c>
      <c r="I394" s="14">
        <f t="shared" si="39"/>
        <v>1</v>
      </c>
      <c r="J394">
        <f t="shared" si="40"/>
        <v>2</v>
      </c>
      <c r="K394" s="14">
        <f t="shared" si="41"/>
        <v>8</v>
      </c>
      <c r="L394" t="str">
        <f t="shared" si="42"/>
        <v>Standard One-Time Buyers</v>
      </c>
    </row>
    <row r="395" spans="1:12" x14ac:dyDescent="0.3">
      <c r="A395" s="12" t="s">
        <v>2746</v>
      </c>
      <c r="B395" s="14" t="str">
        <f>INDEX(orders!$F:$F,MATCH(A395,orders!$C:$C,0))</f>
        <v>Neely Broadberrie</v>
      </c>
      <c r="C395" s="15">
        <f>_xlfn.MAXIFS(orders!$B:$B,orders!$C:$C,A395)</f>
        <v>44332</v>
      </c>
      <c r="D395" s="14">
        <f t="shared" si="37"/>
        <v>461</v>
      </c>
      <c r="E395" s="14">
        <f>COUNTIFS(orders!$C:$C,A395)</f>
        <v>1</v>
      </c>
      <c r="F395" s="16">
        <f>SUMIFS(orders!$M:$M,orders!$C:$C,A395)</f>
        <v>63.4</v>
      </c>
      <c r="G395" s="14" t="str">
        <f>INDEX(orders!$P:$P,MATCH(A395,orders!$C:$C,0))</f>
        <v>No</v>
      </c>
      <c r="H395" s="17">
        <f t="shared" si="38"/>
        <v>4</v>
      </c>
      <c r="I395" s="14">
        <f t="shared" si="39"/>
        <v>1</v>
      </c>
      <c r="J395">
        <f t="shared" si="40"/>
        <v>4</v>
      </c>
      <c r="K395" s="14">
        <f t="shared" si="41"/>
        <v>9</v>
      </c>
      <c r="L395" t="str">
        <f t="shared" si="42"/>
        <v>Recent High-Value (One-Time)</v>
      </c>
    </row>
    <row r="396" spans="1:12" x14ac:dyDescent="0.3">
      <c r="A396" s="12" t="s">
        <v>2397</v>
      </c>
      <c r="B396" s="14" t="str">
        <f>INDEX(orders!$F:$F,MATCH(A396,orders!$C:$C,0))</f>
        <v>Wyatan Fetherston</v>
      </c>
      <c r="C396" s="15">
        <f>_xlfn.MAXIFS(orders!$B:$B,orders!$C:$C,A396)</f>
        <v>43995</v>
      </c>
      <c r="D396" s="14">
        <f t="shared" si="37"/>
        <v>798</v>
      </c>
      <c r="E396" s="14">
        <f>COUNTIFS(orders!$C:$C,A396)</f>
        <v>1</v>
      </c>
      <c r="F396" s="16">
        <f>SUMIFS(orders!$M:$M,orders!$C:$C,A396)</f>
        <v>59.4</v>
      </c>
      <c r="G396" s="14" t="str">
        <f>INDEX(orders!$P:$P,MATCH(A396,orders!$C:$C,0))</f>
        <v>No</v>
      </c>
      <c r="H396" s="17">
        <f t="shared" si="38"/>
        <v>2</v>
      </c>
      <c r="I396" s="14">
        <f t="shared" si="39"/>
        <v>1</v>
      </c>
      <c r="J396">
        <f t="shared" si="40"/>
        <v>4</v>
      </c>
      <c r="K396" s="14">
        <f t="shared" si="41"/>
        <v>7</v>
      </c>
      <c r="L396" t="str">
        <f t="shared" si="42"/>
        <v>Lapsed One-Time Buyers</v>
      </c>
    </row>
    <row r="397" spans="1:12" x14ac:dyDescent="0.3">
      <c r="A397" s="12" t="s">
        <v>682</v>
      </c>
      <c r="B397" s="14" t="str">
        <f>INDEX(orders!$F:$F,MATCH(A397,orders!$C:$C,0))</f>
        <v>Una Welberry</v>
      </c>
      <c r="C397" s="15">
        <f>_xlfn.MAXIFS(orders!$B:$B,orders!$C:$C,A397)</f>
        <v>44011</v>
      </c>
      <c r="D397" s="14">
        <f t="shared" si="37"/>
        <v>782</v>
      </c>
      <c r="E397" s="14">
        <f>COUNTIFS(orders!$C:$C,A397)</f>
        <v>1</v>
      </c>
      <c r="F397" s="16">
        <f>SUMIFS(orders!$M:$M,orders!$C:$C,A397)</f>
        <v>57.06</v>
      </c>
      <c r="G397" s="14" t="str">
        <f>INDEX(orders!$P:$P,MATCH(A397,orders!$C:$C,0))</f>
        <v>Yes</v>
      </c>
      <c r="H397" s="17">
        <f t="shared" si="38"/>
        <v>2</v>
      </c>
      <c r="I397" s="14">
        <f t="shared" si="39"/>
        <v>1</v>
      </c>
      <c r="J397">
        <f t="shared" si="40"/>
        <v>4</v>
      </c>
      <c r="K397" s="14">
        <f t="shared" si="41"/>
        <v>7</v>
      </c>
      <c r="L397" t="str">
        <f t="shared" si="42"/>
        <v>Lapsed One-Time Buyers</v>
      </c>
    </row>
    <row r="398" spans="1:12" x14ac:dyDescent="0.3">
      <c r="A398" s="12" t="s">
        <v>773</v>
      </c>
      <c r="B398" s="14" t="str">
        <f>INDEX(orders!$F:$F,MATCH(A398,orders!$C:$C,0))</f>
        <v>Inger Bouldon</v>
      </c>
      <c r="C398" s="15">
        <f>_xlfn.MAXIFS(orders!$B:$B,orders!$C:$C,A398)</f>
        <v>44792</v>
      </c>
      <c r="D398" s="14">
        <f t="shared" si="37"/>
        <v>1</v>
      </c>
      <c r="E398" s="14">
        <f>COUNTIFS(orders!$C:$C,A398)</f>
        <v>1</v>
      </c>
      <c r="F398" s="16">
        <f>SUMIFS(orders!$M:$M,orders!$C:$C,A398)</f>
        <v>15.54</v>
      </c>
      <c r="G398" s="14" t="str">
        <f>INDEX(orders!$P:$P,MATCH(A398,orders!$C:$C,0))</f>
        <v>No</v>
      </c>
      <c r="H398" s="17">
        <f t="shared" si="38"/>
        <v>5</v>
      </c>
      <c r="I398" s="14">
        <f t="shared" si="39"/>
        <v>1</v>
      </c>
      <c r="J398">
        <f t="shared" si="40"/>
        <v>2</v>
      </c>
      <c r="K398" s="14">
        <f t="shared" si="41"/>
        <v>8</v>
      </c>
      <c r="L398" t="str">
        <f t="shared" si="42"/>
        <v>Standard One-Time Buyers</v>
      </c>
    </row>
    <row r="399" spans="1:12" x14ac:dyDescent="0.3">
      <c r="A399" s="12" t="s">
        <v>1060</v>
      </c>
      <c r="B399" s="14" t="str">
        <f>INDEX(orders!$F:$F,MATCH(A399,orders!$C:$C,0))</f>
        <v>Dyanna Aizikovitz</v>
      </c>
      <c r="C399" s="15">
        <f>_xlfn.MAXIFS(orders!$B:$B,orders!$C:$C,A399)</f>
        <v>44488</v>
      </c>
      <c r="D399" s="14">
        <f t="shared" si="37"/>
        <v>305</v>
      </c>
      <c r="E399" s="14">
        <f>COUNTIFS(orders!$C:$C,A399)</f>
        <v>1</v>
      </c>
      <c r="F399" s="16">
        <f>SUMIFS(orders!$M:$M,orders!$C:$C,A399)</f>
        <v>38.849999999999994</v>
      </c>
      <c r="G399" s="14" t="str">
        <f>INDEX(orders!$P:$P,MATCH(A399,orders!$C:$C,0))</f>
        <v>Yes</v>
      </c>
      <c r="H399" s="17">
        <f t="shared" si="38"/>
        <v>4</v>
      </c>
      <c r="I399" s="14">
        <f t="shared" si="39"/>
        <v>1</v>
      </c>
      <c r="J399">
        <f t="shared" si="40"/>
        <v>3</v>
      </c>
      <c r="K399" s="14">
        <f t="shared" si="41"/>
        <v>8</v>
      </c>
      <c r="L399" t="str">
        <f t="shared" si="42"/>
        <v>Standard One-Time Buyers</v>
      </c>
    </row>
    <row r="400" spans="1:12" x14ac:dyDescent="0.3">
      <c r="A400" s="12" t="s">
        <v>2158</v>
      </c>
      <c r="B400" s="14" t="str">
        <f>INDEX(orders!$F:$F,MATCH(A400,orders!$C:$C,0))</f>
        <v>Dorian Vizor</v>
      </c>
      <c r="C400" s="15">
        <f>_xlfn.MAXIFS(orders!$B:$B,orders!$C:$C,A400)</f>
        <v>43597</v>
      </c>
      <c r="D400" s="14">
        <f t="shared" si="37"/>
        <v>1196</v>
      </c>
      <c r="E400" s="14">
        <f>COUNTIFS(orders!$C:$C,A400)</f>
        <v>1</v>
      </c>
      <c r="F400" s="16">
        <f>SUMIFS(orders!$M:$M,orders!$C:$C,A400)</f>
        <v>35.82</v>
      </c>
      <c r="G400" s="14" t="str">
        <f>INDEX(orders!$P:$P,MATCH(A400,orders!$C:$C,0))</f>
        <v>Yes</v>
      </c>
      <c r="H400" s="17">
        <f t="shared" si="38"/>
        <v>1</v>
      </c>
      <c r="I400" s="14">
        <f t="shared" si="39"/>
        <v>1</v>
      </c>
      <c r="J400">
        <f t="shared" si="40"/>
        <v>3</v>
      </c>
      <c r="K400" s="14">
        <f t="shared" si="41"/>
        <v>5</v>
      </c>
      <c r="L400" t="str">
        <f t="shared" si="42"/>
        <v>Lapsed One-Time Buyers</v>
      </c>
    </row>
    <row r="401" spans="1:12" x14ac:dyDescent="0.3">
      <c r="A401" s="12" t="s">
        <v>4146</v>
      </c>
      <c r="B401" s="14" t="str">
        <f>INDEX(orders!$F:$F,MATCH(A401,orders!$C:$C,0))</f>
        <v>Ardith Chill</v>
      </c>
      <c r="C401" s="15">
        <f>_xlfn.MAXIFS(orders!$B:$B,orders!$C:$C,A401)</f>
        <v>44502</v>
      </c>
      <c r="D401" s="14">
        <f t="shared" si="37"/>
        <v>291</v>
      </c>
      <c r="E401" s="14">
        <f>COUNTIFS(orders!$C:$C,A401)</f>
        <v>1</v>
      </c>
      <c r="F401" s="16">
        <f>SUMIFS(orders!$M:$M,orders!$C:$C,A401)</f>
        <v>28.53</v>
      </c>
      <c r="G401" s="14" t="str">
        <f>INDEX(orders!$P:$P,MATCH(A401,orders!$C:$C,0))</f>
        <v>Yes</v>
      </c>
      <c r="H401" s="17">
        <f t="shared" si="38"/>
        <v>4</v>
      </c>
      <c r="I401" s="14">
        <f t="shared" si="39"/>
        <v>1</v>
      </c>
      <c r="J401">
        <f t="shared" si="40"/>
        <v>3</v>
      </c>
      <c r="K401" s="14">
        <f t="shared" si="41"/>
        <v>8</v>
      </c>
      <c r="L401" t="str">
        <f t="shared" si="42"/>
        <v>Standard One-Time Buyers</v>
      </c>
    </row>
    <row r="402" spans="1:12" x14ac:dyDescent="0.3">
      <c r="A402" s="12" t="s">
        <v>2113</v>
      </c>
      <c r="B402" s="14" t="str">
        <f>INDEX(orders!$F:$F,MATCH(A402,orders!$C:$C,0))</f>
        <v>Kerr Patise</v>
      </c>
      <c r="C402" s="15">
        <f>_xlfn.MAXIFS(orders!$B:$B,orders!$C:$C,A402)</f>
        <v>44697</v>
      </c>
      <c r="D402" s="14">
        <f t="shared" si="37"/>
        <v>96</v>
      </c>
      <c r="E402" s="14">
        <f>COUNTIFS(orders!$C:$C,A402)</f>
        <v>1</v>
      </c>
      <c r="F402" s="16">
        <f>SUMIFS(orders!$M:$M,orders!$C:$C,A402)</f>
        <v>14.339999999999998</v>
      </c>
      <c r="G402" s="14" t="str">
        <f>INDEX(orders!$P:$P,MATCH(A402,orders!$C:$C,0))</f>
        <v>No</v>
      </c>
      <c r="H402" s="17">
        <f t="shared" si="38"/>
        <v>5</v>
      </c>
      <c r="I402" s="14">
        <f t="shared" si="39"/>
        <v>1</v>
      </c>
      <c r="J402">
        <f t="shared" si="40"/>
        <v>2</v>
      </c>
      <c r="K402" s="14">
        <f t="shared" si="41"/>
        <v>8</v>
      </c>
      <c r="L402" t="str">
        <f t="shared" si="42"/>
        <v>Standard One-Time Buyers</v>
      </c>
    </row>
    <row r="403" spans="1:12" x14ac:dyDescent="0.3">
      <c r="A403" s="12" t="s">
        <v>5706</v>
      </c>
      <c r="B403" s="14" t="str">
        <f>INDEX(orders!$F:$F,MATCH(A403,orders!$C:$C,0))</f>
        <v>Charin Maplethorp</v>
      </c>
      <c r="C403" s="15">
        <f>_xlfn.MAXIFS(orders!$B:$B,orders!$C:$C,A403)</f>
        <v>44659</v>
      </c>
      <c r="D403" s="14">
        <f t="shared" si="37"/>
        <v>134</v>
      </c>
      <c r="E403" s="14">
        <f>COUNTIFS(orders!$C:$C,A403)</f>
        <v>1</v>
      </c>
      <c r="F403" s="16">
        <f>SUMIFS(orders!$M:$M,orders!$C:$C,A403)</f>
        <v>67.5</v>
      </c>
      <c r="G403" s="14" t="str">
        <f>INDEX(orders!$P:$P,MATCH(A403,orders!$C:$C,0))</f>
        <v>Yes</v>
      </c>
      <c r="H403" s="17">
        <f t="shared" si="38"/>
        <v>5</v>
      </c>
      <c r="I403" s="14">
        <f t="shared" si="39"/>
        <v>1</v>
      </c>
      <c r="J403">
        <f t="shared" si="40"/>
        <v>4</v>
      </c>
      <c r="K403" s="14">
        <f t="shared" si="41"/>
        <v>10</v>
      </c>
      <c r="L403" t="str">
        <f t="shared" si="42"/>
        <v>Recent High-Value (One-Time)</v>
      </c>
    </row>
    <row r="404" spans="1:12" x14ac:dyDescent="0.3">
      <c r="A404" s="12" t="s">
        <v>4765</v>
      </c>
      <c r="B404" s="14" t="str">
        <f>INDEX(orders!$F:$F,MATCH(A404,orders!$C:$C,0))</f>
        <v>Fernando Sulman</v>
      </c>
      <c r="C404" s="15">
        <f>_xlfn.MAXIFS(orders!$B:$B,orders!$C:$C,A404)</f>
        <v>44715</v>
      </c>
      <c r="D404" s="14">
        <f t="shared" si="37"/>
        <v>78</v>
      </c>
      <c r="E404" s="14">
        <f>COUNTIFS(orders!$C:$C,A404)</f>
        <v>1</v>
      </c>
      <c r="F404" s="16">
        <f>SUMIFS(orders!$M:$M,orders!$C:$C,A404)</f>
        <v>35.799999999999997</v>
      </c>
      <c r="G404" s="14" t="str">
        <f>INDEX(orders!$P:$P,MATCH(A404,orders!$C:$C,0))</f>
        <v>Yes</v>
      </c>
      <c r="H404" s="17">
        <f t="shared" si="38"/>
        <v>5</v>
      </c>
      <c r="I404" s="14">
        <f t="shared" si="39"/>
        <v>1</v>
      </c>
      <c r="J404">
        <f t="shared" si="40"/>
        <v>3</v>
      </c>
      <c r="K404" s="14">
        <f t="shared" si="41"/>
        <v>9</v>
      </c>
      <c r="L404" t="str">
        <f t="shared" si="42"/>
        <v>Standard One-Time Buyers</v>
      </c>
    </row>
    <row r="405" spans="1:12" x14ac:dyDescent="0.3">
      <c r="A405" s="12" t="s">
        <v>4081</v>
      </c>
      <c r="B405" s="14" t="str">
        <f>INDEX(orders!$F:$F,MATCH(A405,orders!$C:$C,0))</f>
        <v>Carolee Winchcombe</v>
      </c>
      <c r="C405" s="15">
        <f>_xlfn.MAXIFS(orders!$B:$B,orders!$C:$C,A405)</f>
        <v>43487</v>
      </c>
      <c r="D405" s="14">
        <f t="shared" si="37"/>
        <v>1306</v>
      </c>
      <c r="E405" s="14">
        <f>COUNTIFS(orders!$C:$C,A405)</f>
        <v>1</v>
      </c>
      <c r="F405" s="16">
        <f>SUMIFS(orders!$M:$M,orders!$C:$C,A405)</f>
        <v>95.1</v>
      </c>
      <c r="G405" s="14" t="str">
        <f>INDEX(orders!$P:$P,MATCH(A405,orders!$C:$C,0))</f>
        <v>Yes</v>
      </c>
      <c r="H405" s="17">
        <f t="shared" si="38"/>
        <v>1</v>
      </c>
      <c r="I405" s="14">
        <f t="shared" si="39"/>
        <v>1</v>
      </c>
      <c r="J405">
        <f t="shared" si="40"/>
        <v>5</v>
      </c>
      <c r="K405" s="14">
        <f t="shared" si="41"/>
        <v>7</v>
      </c>
      <c r="L405" t="str">
        <f t="shared" si="42"/>
        <v>Lapsed One-Time Buyers</v>
      </c>
    </row>
    <row r="406" spans="1:12" x14ac:dyDescent="0.3">
      <c r="A406" s="12" t="s">
        <v>4384</v>
      </c>
      <c r="B406" s="14" t="str">
        <f>INDEX(orders!$F:$F,MATCH(A406,orders!$C:$C,0))</f>
        <v>Dionne Skyner</v>
      </c>
      <c r="C406" s="15">
        <f>_xlfn.MAXIFS(orders!$B:$B,orders!$C:$C,A406)</f>
        <v>44346</v>
      </c>
      <c r="D406" s="14">
        <f t="shared" si="37"/>
        <v>447</v>
      </c>
      <c r="E406" s="14">
        <f>COUNTIFS(orders!$C:$C,A406)</f>
        <v>1</v>
      </c>
      <c r="F406" s="16">
        <f>SUMIFS(orders!$M:$M,orders!$C:$C,A406)</f>
        <v>33.75</v>
      </c>
      <c r="G406" s="14" t="str">
        <f>INDEX(orders!$P:$P,MATCH(A406,orders!$C:$C,0))</f>
        <v>No</v>
      </c>
      <c r="H406" s="17">
        <f t="shared" si="38"/>
        <v>4</v>
      </c>
      <c r="I406" s="14">
        <f t="shared" si="39"/>
        <v>1</v>
      </c>
      <c r="J406">
        <f t="shared" si="40"/>
        <v>3</v>
      </c>
      <c r="K406" s="14">
        <f t="shared" si="41"/>
        <v>8</v>
      </c>
      <c r="L406" t="str">
        <f t="shared" si="42"/>
        <v>Standard One-Time Buyers</v>
      </c>
    </row>
    <row r="407" spans="1:12" x14ac:dyDescent="0.3">
      <c r="A407" s="12" t="s">
        <v>1924</v>
      </c>
      <c r="B407" s="14" t="str">
        <f>INDEX(orders!$F:$F,MATCH(A407,orders!$C:$C,0))</f>
        <v>Rosaline McLae</v>
      </c>
      <c r="C407" s="15">
        <f>_xlfn.MAXIFS(orders!$B:$B,orders!$C:$C,A407)</f>
        <v>44482</v>
      </c>
      <c r="D407" s="14">
        <f t="shared" si="37"/>
        <v>311</v>
      </c>
      <c r="E407" s="14">
        <f>COUNTIFS(orders!$C:$C,A407)</f>
        <v>1</v>
      </c>
      <c r="F407" s="16">
        <f>SUMIFS(orders!$M:$M,orders!$C:$C,A407)</f>
        <v>28.679999999999996</v>
      </c>
      <c r="G407" s="14" t="str">
        <f>INDEX(orders!$P:$P,MATCH(A407,orders!$C:$C,0))</f>
        <v>No</v>
      </c>
      <c r="H407" s="17">
        <f t="shared" si="38"/>
        <v>4</v>
      </c>
      <c r="I407" s="14">
        <f t="shared" si="39"/>
        <v>1</v>
      </c>
      <c r="J407">
        <f t="shared" si="40"/>
        <v>3</v>
      </c>
      <c r="K407" s="14">
        <f t="shared" si="41"/>
        <v>8</v>
      </c>
      <c r="L407" t="str">
        <f t="shared" si="42"/>
        <v>Standard One-Time Buyers</v>
      </c>
    </row>
    <row r="408" spans="1:12" x14ac:dyDescent="0.3">
      <c r="A408" s="12" t="s">
        <v>2770</v>
      </c>
      <c r="B408" s="14" t="str">
        <f>INDEX(orders!$F:$F,MATCH(A408,orders!$C:$C,0))</f>
        <v>Tania Craggs</v>
      </c>
      <c r="C408" s="15">
        <f>_xlfn.MAXIFS(orders!$B:$B,orders!$C:$C,A408)</f>
        <v>43971</v>
      </c>
      <c r="D408" s="14">
        <f t="shared" si="37"/>
        <v>822</v>
      </c>
      <c r="E408" s="14">
        <f>COUNTIFS(orders!$C:$C,A408)</f>
        <v>1</v>
      </c>
      <c r="F408" s="16">
        <f>SUMIFS(orders!$M:$M,orders!$C:$C,A408)</f>
        <v>39.799999999999997</v>
      </c>
      <c r="G408" s="14" t="str">
        <f>INDEX(orders!$P:$P,MATCH(A408,orders!$C:$C,0))</f>
        <v>No</v>
      </c>
      <c r="H408" s="17">
        <f t="shared" si="38"/>
        <v>2</v>
      </c>
      <c r="I408" s="14">
        <f t="shared" si="39"/>
        <v>1</v>
      </c>
      <c r="J408">
        <f t="shared" si="40"/>
        <v>3</v>
      </c>
      <c r="K408" s="14">
        <f t="shared" si="41"/>
        <v>6</v>
      </c>
      <c r="L408" t="str">
        <f t="shared" si="42"/>
        <v>Lapsed One-Time Buyers</v>
      </c>
    </row>
    <row r="409" spans="1:12" x14ac:dyDescent="0.3">
      <c r="A409" s="12" t="s">
        <v>4235</v>
      </c>
      <c r="B409" s="14" t="str">
        <f>INDEX(orders!$F:$F,MATCH(A409,orders!$C:$C,0))</f>
        <v>Corrie Wass</v>
      </c>
      <c r="C409" s="15">
        <f>_xlfn.MAXIFS(orders!$B:$B,orders!$C:$C,A409)</f>
        <v>43554</v>
      </c>
      <c r="D409" s="14">
        <f t="shared" si="37"/>
        <v>1239</v>
      </c>
      <c r="E409" s="14">
        <f>COUNTIFS(orders!$C:$C,A409)</f>
        <v>1</v>
      </c>
      <c r="F409" s="16">
        <f>SUMIFS(orders!$M:$M,orders!$C:$C,A409)</f>
        <v>67.5</v>
      </c>
      <c r="G409" s="14" t="str">
        <f>INDEX(orders!$P:$P,MATCH(A409,orders!$C:$C,0))</f>
        <v>No</v>
      </c>
      <c r="H409" s="17">
        <f t="shared" si="38"/>
        <v>1</v>
      </c>
      <c r="I409" s="14">
        <f t="shared" si="39"/>
        <v>1</v>
      </c>
      <c r="J409">
        <f t="shared" si="40"/>
        <v>4</v>
      </c>
      <c r="K409" s="14">
        <f t="shared" si="41"/>
        <v>6</v>
      </c>
      <c r="L409" t="str">
        <f t="shared" si="42"/>
        <v>Lapsed One-Time Buyers</v>
      </c>
    </row>
    <row r="410" spans="1:12" x14ac:dyDescent="0.3">
      <c r="A410" s="12" t="s">
        <v>5677</v>
      </c>
      <c r="B410" s="14" t="str">
        <f>INDEX(orders!$F:$F,MATCH(A410,orders!$C:$C,0))</f>
        <v>Chloris Sorrell</v>
      </c>
      <c r="C410" s="15">
        <f>_xlfn.MAXIFS(orders!$B:$B,orders!$C:$C,A410)</f>
        <v>44573</v>
      </c>
      <c r="D410" s="14">
        <f t="shared" si="37"/>
        <v>220</v>
      </c>
      <c r="E410" s="14">
        <f>COUNTIFS(orders!$C:$C,A410)</f>
        <v>2</v>
      </c>
      <c r="F410" s="16">
        <f>SUMIFS(orders!$M:$M,orders!$C:$C,A410)</f>
        <v>28.62</v>
      </c>
      <c r="G410" s="14" t="str">
        <f>INDEX(orders!$P:$P,MATCH(A410,orders!$C:$C,0))</f>
        <v>No</v>
      </c>
      <c r="H410" s="17">
        <f t="shared" si="38"/>
        <v>5</v>
      </c>
      <c r="I410" s="14">
        <f t="shared" si="39"/>
        <v>3</v>
      </c>
      <c r="J410">
        <f t="shared" si="40"/>
        <v>3</v>
      </c>
      <c r="K410" s="14">
        <f t="shared" si="41"/>
        <v>11</v>
      </c>
      <c r="L410" t="str">
        <f t="shared" si="42"/>
        <v>Loyal Repeat Customers</v>
      </c>
    </row>
    <row r="411" spans="1:12" x14ac:dyDescent="0.3">
      <c r="A411" s="12" t="s">
        <v>5996</v>
      </c>
      <c r="B411" s="14" t="str">
        <f>INDEX(orders!$F:$F,MATCH(A411,orders!$C:$C,0))</f>
        <v>Sada Roseborough</v>
      </c>
      <c r="C411" s="15">
        <f>_xlfn.MAXIFS(orders!$B:$B,orders!$C:$C,A411)</f>
        <v>43556</v>
      </c>
      <c r="D411" s="14">
        <f t="shared" si="37"/>
        <v>1237</v>
      </c>
      <c r="E411" s="14">
        <f>COUNTIFS(orders!$C:$C,A411)</f>
        <v>1</v>
      </c>
      <c r="F411" s="16">
        <f>SUMIFS(orders!$M:$M,orders!$C:$C,A411)</f>
        <v>5.3699999999999992</v>
      </c>
      <c r="G411" s="14" t="str">
        <f>INDEX(orders!$P:$P,MATCH(A411,orders!$C:$C,0))</f>
        <v>Yes</v>
      </c>
      <c r="H411" s="17">
        <f t="shared" si="38"/>
        <v>1</v>
      </c>
      <c r="I411" s="14">
        <f t="shared" si="39"/>
        <v>1</v>
      </c>
      <c r="J411">
        <f t="shared" si="40"/>
        <v>1</v>
      </c>
      <c r="K411" s="14">
        <f t="shared" si="41"/>
        <v>3</v>
      </c>
      <c r="L411" t="str">
        <f t="shared" si="42"/>
        <v>Lapsed One-Time Buyers</v>
      </c>
    </row>
    <row r="412" spans="1:12" x14ac:dyDescent="0.3">
      <c r="A412" s="12" t="s">
        <v>3261</v>
      </c>
      <c r="B412" s="14" t="str">
        <f>INDEX(orders!$F:$F,MATCH(A412,orders!$C:$C,0))</f>
        <v>Bob Giannazzi</v>
      </c>
      <c r="C412" s="15">
        <f>_xlfn.MAXIFS(orders!$B:$B,orders!$C:$C,A412)</f>
        <v>43764</v>
      </c>
      <c r="D412" s="14">
        <f t="shared" si="37"/>
        <v>1029</v>
      </c>
      <c r="E412" s="14">
        <f>COUNTIFS(orders!$C:$C,A412)</f>
        <v>1</v>
      </c>
      <c r="F412" s="16">
        <f>SUMIFS(orders!$M:$M,orders!$C:$C,A412)</f>
        <v>15.54</v>
      </c>
      <c r="G412" s="14" t="str">
        <f>INDEX(orders!$P:$P,MATCH(A412,orders!$C:$C,0))</f>
        <v>No</v>
      </c>
      <c r="H412" s="17">
        <f t="shared" si="38"/>
        <v>2</v>
      </c>
      <c r="I412" s="14">
        <f t="shared" si="39"/>
        <v>1</v>
      </c>
      <c r="J412">
        <f t="shared" si="40"/>
        <v>2</v>
      </c>
      <c r="K412" s="14">
        <f t="shared" si="41"/>
        <v>5</v>
      </c>
      <c r="L412" t="str">
        <f t="shared" si="42"/>
        <v>Lapsed One-Time Buyers</v>
      </c>
    </row>
    <row r="413" spans="1:12" x14ac:dyDescent="0.3">
      <c r="A413" s="12" t="s">
        <v>4552</v>
      </c>
      <c r="B413" s="14" t="str">
        <f>INDEX(orders!$F:$F,MATCH(A413,orders!$C:$C,0))</f>
        <v>Granger Fantham</v>
      </c>
      <c r="C413" s="15">
        <f>_xlfn.MAXIFS(orders!$B:$B,orders!$C:$C,A413)</f>
        <v>44150</v>
      </c>
      <c r="D413" s="14">
        <f t="shared" si="37"/>
        <v>643</v>
      </c>
      <c r="E413" s="14">
        <f>COUNTIFS(orders!$C:$C,A413)</f>
        <v>1</v>
      </c>
      <c r="F413" s="16">
        <f>SUMIFS(orders!$M:$M,orders!$C:$C,A413)</f>
        <v>79.25</v>
      </c>
      <c r="G413" s="14" t="str">
        <f>INDEX(orders!$P:$P,MATCH(A413,orders!$C:$C,0))</f>
        <v>Yes</v>
      </c>
      <c r="H413" s="17">
        <f t="shared" si="38"/>
        <v>3</v>
      </c>
      <c r="I413" s="14">
        <f t="shared" si="39"/>
        <v>1</v>
      </c>
      <c r="J413">
        <f t="shared" si="40"/>
        <v>5</v>
      </c>
      <c r="K413" s="14">
        <f t="shared" si="41"/>
        <v>9</v>
      </c>
      <c r="L413" t="str">
        <f t="shared" si="42"/>
        <v>Standard One-Time Buyers</v>
      </c>
    </row>
    <row r="414" spans="1:12" x14ac:dyDescent="0.3">
      <c r="A414" s="12" t="s">
        <v>4956</v>
      </c>
      <c r="B414" s="14" t="str">
        <f>INDEX(orders!$F:$F,MATCH(A414,orders!$C:$C,0))</f>
        <v>Silvan McShea</v>
      </c>
      <c r="C414" s="15">
        <f>_xlfn.MAXIFS(orders!$B:$B,orders!$C:$C,A414)</f>
        <v>44613</v>
      </c>
      <c r="D414" s="14">
        <f t="shared" si="37"/>
        <v>180</v>
      </c>
      <c r="E414" s="14">
        <f>COUNTIFS(orders!$C:$C,A414)</f>
        <v>1</v>
      </c>
      <c r="F414" s="16">
        <f>SUMIFS(orders!$M:$M,orders!$C:$C,A414)</f>
        <v>23.31</v>
      </c>
      <c r="G414" s="14" t="str">
        <f>INDEX(orders!$P:$P,MATCH(A414,orders!$C:$C,0))</f>
        <v>No</v>
      </c>
      <c r="H414" s="17">
        <f t="shared" si="38"/>
        <v>5</v>
      </c>
      <c r="I414" s="14">
        <f t="shared" si="39"/>
        <v>1</v>
      </c>
      <c r="J414">
        <f t="shared" si="40"/>
        <v>2</v>
      </c>
      <c r="K414" s="14">
        <f t="shared" si="41"/>
        <v>8</v>
      </c>
      <c r="L414" t="str">
        <f t="shared" si="42"/>
        <v>Standard One-Time Buyers</v>
      </c>
    </row>
    <row r="415" spans="1:12" x14ac:dyDescent="0.3">
      <c r="A415" s="12" t="s">
        <v>5311</v>
      </c>
      <c r="B415" s="14" t="str">
        <f>INDEX(orders!$F:$F,MATCH(A415,orders!$C:$C,0))</f>
        <v>Lynnea Danton</v>
      </c>
      <c r="C415" s="15">
        <f>_xlfn.MAXIFS(orders!$B:$B,orders!$C:$C,A415)</f>
        <v>44259</v>
      </c>
      <c r="D415" s="14">
        <f t="shared" si="37"/>
        <v>534</v>
      </c>
      <c r="E415" s="14">
        <f>COUNTIFS(orders!$C:$C,A415)</f>
        <v>1</v>
      </c>
      <c r="F415" s="16">
        <f>SUMIFS(orders!$M:$M,orders!$C:$C,A415)</f>
        <v>19.899999999999999</v>
      </c>
      <c r="G415" s="14" t="str">
        <f>INDEX(orders!$P:$P,MATCH(A415,orders!$C:$C,0))</f>
        <v>No</v>
      </c>
      <c r="H415" s="17">
        <f t="shared" si="38"/>
        <v>3</v>
      </c>
      <c r="I415" s="14">
        <f t="shared" si="39"/>
        <v>1</v>
      </c>
      <c r="J415">
        <f t="shared" si="40"/>
        <v>2</v>
      </c>
      <c r="K415" s="14">
        <f t="shared" si="41"/>
        <v>6</v>
      </c>
      <c r="L415" t="str">
        <f t="shared" si="42"/>
        <v>Standard One-Time Buyers</v>
      </c>
    </row>
    <row r="416" spans="1:12" x14ac:dyDescent="0.3">
      <c r="A416" s="12" t="s">
        <v>4332</v>
      </c>
      <c r="B416" s="14" t="str">
        <f>INDEX(orders!$F:$F,MATCH(A416,orders!$C:$C,0))</f>
        <v>Anjanette Goldie</v>
      </c>
      <c r="C416" s="15">
        <f>_xlfn.MAXIFS(orders!$B:$B,orders!$C:$C,A416)</f>
        <v>44399</v>
      </c>
      <c r="D416" s="14">
        <f t="shared" si="37"/>
        <v>394</v>
      </c>
      <c r="E416" s="14">
        <f>COUNTIFS(orders!$C:$C,A416)</f>
        <v>1</v>
      </c>
      <c r="F416" s="16">
        <f>SUMIFS(orders!$M:$M,orders!$C:$C,A416)</f>
        <v>56.25</v>
      </c>
      <c r="G416" s="14" t="str">
        <f>INDEX(orders!$P:$P,MATCH(A416,orders!$C:$C,0))</f>
        <v>No</v>
      </c>
      <c r="H416" s="17">
        <f t="shared" si="38"/>
        <v>4</v>
      </c>
      <c r="I416" s="14">
        <f t="shared" si="39"/>
        <v>1</v>
      </c>
      <c r="J416">
        <f t="shared" si="40"/>
        <v>4</v>
      </c>
      <c r="K416" s="14">
        <f t="shared" si="41"/>
        <v>9</v>
      </c>
      <c r="L416" t="str">
        <f t="shared" si="42"/>
        <v>Recent High-Value (One-Time)</v>
      </c>
    </row>
    <row r="417" spans="1:12" x14ac:dyDescent="0.3">
      <c r="A417" s="12" t="s">
        <v>2895</v>
      </c>
      <c r="B417" s="14" t="str">
        <f>INDEX(orders!$F:$F,MATCH(A417,orders!$C:$C,0))</f>
        <v>Kynthia Berick</v>
      </c>
      <c r="C417" s="15">
        <f>_xlfn.MAXIFS(orders!$B:$B,orders!$C:$C,A417)</f>
        <v>44224</v>
      </c>
      <c r="D417" s="14">
        <f t="shared" si="37"/>
        <v>569</v>
      </c>
      <c r="E417" s="14">
        <f>COUNTIFS(orders!$C:$C,A417)</f>
        <v>1</v>
      </c>
      <c r="F417" s="16">
        <f>SUMIFS(orders!$M:$M,orders!$C:$C,A417)</f>
        <v>77.624999999999986</v>
      </c>
      <c r="G417" s="14" t="str">
        <f>INDEX(orders!$P:$P,MATCH(A417,orders!$C:$C,0))</f>
        <v>Yes</v>
      </c>
      <c r="H417" s="17">
        <f t="shared" si="38"/>
        <v>3</v>
      </c>
      <c r="I417" s="14">
        <f t="shared" si="39"/>
        <v>1</v>
      </c>
      <c r="J417">
        <f t="shared" si="40"/>
        <v>4</v>
      </c>
      <c r="K417" s="14">
        <f t="shared" si="41"/>
        <v>8</v>
      </c>
      <c r="L417" t="str">
        <f t="shared" si="42"/>
        <v>Standard One-Time Buyers</v>
      </c>
    </row>
    <row r="418" spans="1:12" x14ac:dyDescent="0.3">
      <c r="A418" s="12" t="s">
        <v>1223</v>
      </c>
      <c r="B418" s="14" t="str">
        <f>INDEX(orders!$F:$F,MATCH(A418,orders!$C:$C,0))</f>
        <v>Bidget Tremellier</v>
      </c>
      <c r="C418" s="15">
        <f>_xlfn.MAXIFS(orders!$B:$B,orders!$C:$C,A418)</f>
        <v>44624</v>
      </c>
      <c r="D418" s="14">
        <f t="shared" si="37"/>
        <v>169</v>
      </c>
      <c r="E418" s="14">
        <f>COUNTIFS(orders!$C:$C,A418)</f>
        <v>1</v>
      </c>
      <c r="F418" s="16">
        <f>SUMIFS(orders!$M:$M,orders!$C:$C,A418)</f>
        <v>148.92499999999998</v>
      </c>
      <c r="G418" s="14" t="str">
        <f>INDEX(orders!$P:$P,MATCH(A418,orders!$C:$C,0))</f>
        <v>Yes</v>
      </c>
      <c r="H418" s="17">
        <f t="shared" si="38"/>
        <v>5</v>
      </c>
      <c r="I418" s="14">
        <f t="shared" si="39"/>
        <v>1</v>
      </c>
      <c r="J418">
        <f t="shared" si="40"/>
        <v>5</v>
      </c>
      <c r="K418" s="14">
        <f t="shared" si="41"/>
        <v>11</v>
      </c>
      <c r="L418" t="str">
        <f t="shared" si="42"/>
        <v>Recent High-Value (One-Time)</v>
      </c>
    </row>
    <row r="419" spans="1:12" x14ac:dyDescent="0.3">
      <c r="A419" s="12" t="s">
        <v>2263</v>
      </c>
      <c r="B419" s="14" t="str">
        <f>INDEX(orders!$F:$F,MATCH(A419,orders!$C:$C,0))</f>
        <v>Stacy Pickworth</v>
      </c>
      <c r="C419" s="15">
        <f>_xlfn.MAXIFS(orders!$B:$B,orders!$C:$C,A419)</f>
        <v>44437</v>
      </c>
      <c r="D419" s="14">
        <f t="shared" si="37"/>
        <v>356</v>
      </c>
      <c r="E419" s="14">
        <f>COUNTIFS(orders!$C:$C,A419)</f>
        <v>1</v>
      </c>
      <c r="F419" s="16">
        <f>SUMIFS(orders!$M:$M,orders!$C:$C,A419)</f>
        <v>44.75</v>
      </c>
      <c r="G419" s="14" t="str">
        <f>INDEX(orders!$P:$P,MATCH(A419,orders!$C:$C,0))</f>
        <v>No</v>
      </c>
      <c r="H419" s="17">
        <f t="shared" si="38"/>
        <v>4</v>
      </c>
      <c r="I419" s="14">
        <f t="shared" si="39"/>
        <v>1</v>
      </c>
      <c r="J419">
        <f t="shared" si="40"/>
        <v>4</v>
      </c>
      <c r="K419" s="14">
        <f t="shared" si="41"/>
        <v>9</v>
      </c>
      <c r="L419" t="str">
        <f t="shared" si="42"/>
        <v>Recent High-Value (One-Time)</v>
      </c>
    </row>
    <row r="420" spans="1:12" x14ac:dyDescent="0.3">
      <c r="A420" s="12" t="s">
        <v>1159</v>
      </c>
      <c r="B420" s="14" t="str">
        <f>INDEX(orders!$F:$F,MATCH(A420,orders!$C:$C,0))</f>
        <v>Cordi Switsur</v>
      </c>
      <c r="C420" s="15">
        <f>_xlfn.MAXIFS(orders!$B:$B,orders!$C:$C,A420)</f>
        <v>44471</v>
      </c>
      <c r="D420" s="14">
        <f t="shared" si="37"/>
        <v>322</v>
      </c>
      <c r="E420" s="14">
        <f>COUNTIFS(orders!$C:$C,A420)</f>
        <v>3</v>
      </c>
      <c r="F420" s="16">
        <f>SUMIFS(orders!$M:$M,orders!$C:$C,A420)</f>
        <v>76.760000000000005</v>
      </c>
      <c r="G420" s="14" t="str">
        <f>INDEX(orders!$P:$P,MATCH(A420,orders!$C:$C,0))</f>
        <v>No</v>
      </c>
      <c r="H420" s="17">
        <f t="shared" si="38"/>
        <v>4</v>
      </c>
      <c r="I420" s="14">
        <f t="shared" si="39"/>
        <v>5</v>
      </c>
      <c r="J420">
        <f t="shared" si="40"/>
        <v>4</v>
      </c>
      <c r="K420" s="14">
        <f t="shared" si="41"/>
        <v>13</v>
      </c>
      <c r="L420" t="str">
        <f t="shared" si="42"/>
        <v>Loyal Repeat Customers</v>
      </c>
    </row>
    <row r="421" spans="1:12" x14ac:dyDescent="0.3">
      <c r="A421" s="12" t="s">
        <v>1743</v>
      </c>
      <c r="B421" s="14" t="str">
        <f>INDEX(orders!$F:$F,MATCH(A421,orders!$C:$C,0))</f>
        <v>Waneta Edinborough</v>
      </c>
      <c r="C421" s="15">
        <f>_xlfn.MAXIFS(orders!$B:$B,orders!$C:$C,A421)</f>
        <v>44090</v>
      </c>
      <c r="D421" s="14">
        <f t="shared" si="37"/>
        <v>703</v>
      </c>
      <c r="E421" s="14">
        <f>COUNTIFS(orders!$C:$C,A421)</f>
        <v>1</v>
      </c>
      <c r="F421" s="16">
        <f>SUMIFS(orders!$M:$M,orders!$C:$C,A421)</f>
        <v>23.31</v>
      </c>
      <c r="G421" s="14" t="str">
        <f>INDEX(orders!$P:$P,MATCH(A421,orders!$C:$C,0))</f>
        <v>No</v>
      </c>
      <c r="H421" s="17">
        <f t="shared" si="38"/>
        <v>3</v>
      </c>
      <c r="I421" s="14">
        <f t="shared" si="39"/>
        <v>1</v>
      </c>
      <c r="J421">
        <f t="shared" si="40"/>
        <v>2</v>
      </c>
      <c r="K421" s="14">
        <f t="shared" si="41"/>
        <v>6</v>
      </c>
      <c r="L421" t="str">
        <f t="shared" si="42"/>
        <v>Standard One-Time Buyers</v>
      </c>
    </row>
    <row r="422" spans="1:12" x14ac:dyDescent="0.3">
      <c r="A422" s="12" t="s">
        <v>4564</v>
      </c>
      <c r="B422" s="14" t="str">
        <f>INDEX(orders!$F:$F,MATCH(A422,orders!$C:$C,0))</f>
        <v>Niels Leake</v>
      </c>
      <c r="C422" s="15">
        <f>_xlfn.MAXIFS(orders!$B:$B,orders!$C:$C,A422)</f>
        <v>44479</v>
      </c>
      <c r="D422" s="14">
        <f t="shared" si="37"/>
        <v>314</v>
      </c>
      <c r="E422" s="14">
        <f>COUNTIFS(orders!$C:$C,A422)</f>
        <v>1</v>
      </c>
      <c r="F422" s="16">
        <f>SUMIFS(orders!$M:$M,orders!$C:$C,A422)</f>
        <v>8.9550000000000001</v>
      </c>
      <c r="G422" s="14" t="str">
        <f>INDEX(orders!$P:$P,MATCH(A422,orders!$C:$C,0))</f>
        <v>Yes</v>
      </c>
      <c r="H422" s="17">
        <f t="shared" si="38"/>
        <v>4</v>
      </c>
      <c r="I422" s="14">
        <f t="shared" si="39"/>
        <v>1</v>
      </c>
      <c r="J422">
        <f t="shared" si="40"/>
        <v>1</v>
      </c>
      <c r="K422" s="14">
        <f t="shared" si="41"/>
        <v>6</v>
      </c>
      <c r="L422" t="str">
        <f t="shared" si="42"/>
        <v>Standard One-Time Buyers</v>
      </c>
    </row>
    <row r="423" spans="1:12" x14ac:dyDescent="0.3">
      <c r="A423" s="12" t="s">
        <v>1840</v>
      </c>
      <c r="B423" s="14" t="str">
        <f>INDEX(orders!$F:$F,MATCH(A423,orders!$C:$C,0))</f>
        <v>Devon Magowan</v>
      </c>
      <c r="C423" s="15">
        <f>_xlfn.MAXIFS(orders!$B:$B,orders!$C:$C,A423)</f>
        <v>43881</v>
      </c>
      <c r="D423" s="14">
        <f t="shared" si="37"/>
        <v>912</v>
      </c>
      <c r="E423" s="14">
        <f>COUNTIFS(orders!$C:$C,A423)</f>
        <v>1</v>
      </c>
      <c r="F423" s="16">
        <f>SUMIFS(orders!$M:$M,orders!$C:$C,A423)</f>
        <v>59.4</v>
      </c>
      <c r="G423" s="14" t="str">
        <f>INDEX(orders!$P:$P,MATCH(A423,orders!$C:$C,0))</f>
        <v>No</v>
      </c>
      <c r="H423" s="17">
        <f t="shared" si="38"/>
        <v>2</v>
      </c>
      <c r="I423" s="14">
        <f t="shared" si="39"/>
        <v>1</v>
      </c>
      <c r="J423">
        <f t="shared" si="40"/>
        <v>4</v>
      </c>
      <c r="K423" s="14">
        <f t="shared" si="41"/>
        <v>7</v>
      </c>
      <c r="L423" t="str">
        <f t="shared" si="42"/>
        <v>Lapsed One-Time Buyers</v>
      </c>
    </row>
    <row r="424" spans="1:12" x14ac:dyDescent="0.3">
      <c r="A424" s="12" t="s">
        <v>3243</v>
      </c>
      <c r="B424" s="14" t="str">
        <f>INDEX(orders!$F:$F,MATCH(A424,orders!$C:$C,0))</f>
        <v>Klarika Egglestone</v>
      </c>
      <c r="C424" s="15">
        <f>_xlfn.MAXIFS(orders!$B:$B,orders!$C:$C,A424)</f>
        <v>44093</v>
      </c>
      <c r="D424" s="14">
        <f t="shared" si="37"/>
        <v>700</v>
      </c>
      <c r="E424" s="14">
        <f>COUNTIFS(orders!$C:$C,A424)</f>
        <v>1</v>
      </c>
      <c r="F424" s="16">
        <f>SUMIFS(orders!$M:$M,orders!$C:$C,A424)</f>
        <v>72.900000000000006</v>
      </c>
      <c r="G424" s="14" t="str">
        <f>INDEX(orders!$P:$P,MATCH(A424,orders!$C:$C,0))</f>
        <v>No</v>
      </c>
      <c r="H424" s="17">
        <f t="shared" si="38"/>
        <v>3</v>
      </c>
      <c r="I424" s="14">
        <f t="shared" si="39"/>
        <v>1</v>
      </c>
      <c r="J424">
        <f t="shared" si="40"/>
        <v>4</v>
      </c>
      <c r="K424" s="14">
        <f t="shared" si="41"/>
        <v>8</v>
      </c>
      <c r="L424" t="str">
        <f t="shared" si="42"/>
        <v>Standard One-Time Buyers</v>
      </c>
    </row>
    <row r="425" spans="1:12" x14ac:dyDescent="0.3">
      <c r="A425" s="12" t="s">
        <v>2912</v>
      </c>
      <c r="B425" s="14" t="str">
        <f>INDEX(orders!$F:$F,MATCH(A425,orders!$C:$C,0))</f>
        <v>Melosa Kippen</v>
      </c>
      <c r="C425" s="15">
        <f>_xlfn.MAXIFS(orders!$B:$B,orders!$C:$C,A425)</f>
        <v>44504</v>
      </c>
      <c r="D425" s="14">
        <f t="shared" si="37"/>
        <v>289</v>
      </c>
      <c r="E425" s="14">
        <f>COUNTIFS(orders!$C:$C,A425)</f>
        <v>1</v>
      </c>
      <c r="F425" s="16">
        <f>SUMIFS(orders!$M:$M,orders!$C:$C,A425)</f>
        <v>5.3699999999999992</v>
      </c>
      <c r="G425" s="14" t="str">
        <f>INDEX(orders!$P:$P,MATCH(A425,orders!$C:$C,0))</f>
        <v>Yes</v>
      </c>
      <c r="H425" s="17">
        <f t="shared" si="38"/>
        <v>4</v>
      </c>
      <c r="I425" s="14">
        <f t="shared" si="39"/>
        <v>1</v>
      </c>
      <c r="J425">
        <f t="shared" si="40"/>
        <v>1</v>
      </c>
      <c r="K425" s="14">
        <f t="shared" si="41"/>
        <v>6</v>
      </c>
      <c r="L425" t="str">
        <f t="shared" si="42"/>
        <v>Standard One-Time Buyers</v>
      </c>
    </row>
    <row r="426" spans="1:12" x14ac:dyDescent="0.3">
      <c r="A426" s="12" t="s">
        <v>5289</v>
      </c>
      <c r="B426" s="14" t="str">
        <f>INDEX(orders!$F:$F,MATCH(A426,orders!$C:$C,0))</f>
        <v>Jemimah Ethelston</v>
      </c>
      <c r="C426" s="15">
        <f>_xlfn.MAXIFS(orders!$B:$B,orders!$C:$C,A426)</f>
        <v>44628</v>
      </c>
      <c r="D426" s="14">
        <f t="shared" si="37"/>
        <v>165</v>
      </c>
      <c r="E426" s="14">
        <f>COUNTIFS(orders!$C:$C,A426)</f>
        <v>2</v>
      </c>
      <c r="F426" s="16">
        <f>SUMIFS(orders!$M:$M,orders!$C:$C,A426)</f>
        <v>30.06</v>
      </c>
      <c r="G426" s="14" t="str">
        <f>INDEX(orders!$P:$P,MATCH(A426,orders!$C:$C,0))</f>
        <v>Yes</v>
      </c>
      <c r="H426" s="17">
        <f t="shared" si="38"/>
        <v>5</v>
      </c>
      <c r="I426" s="14">
        <f t="shared" si="39"/>
        <v>3</v>
      </c>
      <c r="J426">
        <f t="shared" si="40"/>
        <v>3</v>
      </c>
      <c r="K426" s="14">
        <f t="shared" si="41"/>
        <v>11</v>
      </c>
      <c r="L426" t="str">
        <f t="shared" si="42"/>
        <v>Loyal Repeat Customers</v>
      </c>
    </row>
    <row r="427" spans="1:12" x14ac:dyDescent="0.3">
      <c r="A427" s="12" t="s">
        <v>2639</v>
      </c>
      <c r="B427" s="14" t="str">
        <f>INDEX(orders!$F:$F,MATCH(A427,orders!$C:$C,0))</f>
        <v>Pren Bess</v>
      </c>
      <c r="C427" s="15">
        <f>_xlfn.MAXIFS(orders!$B:$B,orders!$C:$C,A427)</f>
        <v>44646</v>
      </c>
      <c r="D427" s="14">
        <f t="shared" si="37"/>
        <v>147</v>
      </c>
      <c r="E427" s="14">
        <f>COUNTIFS(orders!$C:$C,A427)</f>
        <v>1</v>
      </c>
      <c r="F427" s="16">
        <f>SUMIFS(orders!$M:$M,orders!$C:$C,A427)</f>
        <v>14.924999999999999</v>
      </c>
      <c r="G427" s="14" t="str">
        <f>INDEX(orders!$P:$P,MATCH(A427,orders!$C:$C,0))</f>
        <v>Yes</v>
      </c>
      <c r="H427" s="17">
        <f t="shared" si="38"/>
        <v>5</v>
      </c>
      <c r="I427" s="14">
        <f t="shared" si="39"/>
        <v>1</v>
      </c>
      <c r="J427">
        <f t="shared" si="40"/>
        <v>2</v>
      </c>
      <c r="K427" s="14">
        <f t="shared" si="41"/>
        <v>8</v>
      </c>
      <c r="L427" t="str">
        <f t="shared" si="42"/>
        <v>Standard One-Time Buyers</v>
      </c>
    </row>
    <row r="428" spans="1:12" x14ac:dyDescent="0.3">
      <c r="A428" s="12" t="s">
        <v>5968</v>
      </c>
      <c r="B428" s="14" t="str">
        <f>INDEX(orders!$F:$F,MATCH(A428,orders!$C:$C,0))</f>
        <v>Chiarra Shalders</v>
      </c>
      <c r="C428" s="15">
        <f>_xlfn.MAXIFS(orders!$B:$B,orders!$C:$C,A428)</f>
        <v>43649</v>
      </c>
      <c r="D428" s="14">
        <f t="shared" si="37"/>
        <v>1144</v>
      </c>
      <c r="E428" s="14">
        <f>COUNTIFS(orders!$C:$C,A428)</f>
        <v>1</v>
      </c>
      <c r="F428" s="16">
        <f>SUMIFS(orders!$M:$M,orders!$C:$C,A428)</f>
        <v>12.95</v>
      </c>
      <c r="G428" s="14" t="str">
        <f>INDEX(orders!$P:$P,MATCH(A428,orders!$C:$C,0))</f>
        <v>Yes</v>
      </c>
      <c r="H428" s="17">
        <f t="shared" si="38"/>
        <v>1</v>
      </c>
      <c r="I428" s="14">
        <f t="shared" si="39"/>
        <v>1</v>
      </c>
      <c r="J428">
        <f t="shared" si="40"/>
        <v>1</v>
      </c>
      <c r="K428" s="14">
        <f t="shared" si="41"/>
        <v>3</v>
      </c>
      <c r="L428" t="str">
        <f t="shared" si="42"/>
        <v>Lapsed One-Time Buyers</v>
      </c>
    </row>
    <row r="429" spans="1:12" x14ac:dyDescent="0.3">
      <c r="A429" s="12" t="s">
        <v>5781</v>
      </c>
      <c r="B429" s="14" t="str">
        <f>INDEX(orders!$F:$F,MATCH(A429,orders!$C:$C,0))</f>
        <v>Devland Gritton</v>
      </c>
      <c r="C429" s="15">
        <f>_xlfn.MAXIFS(orders!$B:$B,orders!$C:$C,A429)</f>
        <v>44493</v>
      </c>
      <c r="D429" s="14">
        <f t="shared" si="37"/>
        <v>300</v>
      </c>
      <c r="E429" s="14">
        <f>COUNTIFS(orders!$C:$C,A429)</f>
        <v>2</v>
      </c>
      <c r="F429" s="16">
        <f>SUMIFS(orders!$M:$M,orders!$C:$C,A429)</f>
        <v>114.85</v>
      </c>
      <c r="G429" s="14" t="str">
        <f>INDEX(orders!$P:$P,MATCH(A429,orders!$C:$C,0))</f>
        <v>Yes</v>
      </c>
      <c r="H429" s="17">
        <f t="shared" si="38"/>
        <v>4</v>
      </c>
      <c r="I429" s="14">
        <f t="shared" si="39"/>
        <v>3</v>
      </c>
      <c r="J429">
        <f t="shared" si="40"/>
        <v>5</v>
      </c>
      <c r="K429" s="14">
        <f t="shared" si="41"/>
        <v>12</v>
      </c>
      <c r="L429" t="str">
        <f t="shared" si="42"/>
        <v>Loyal Repeat Customers</v>
      </c>
    </row>
    <row r="430" spans="1:12" x14ac:dyDescent="0.3">
      <c r="A430" s="12" t="s">
        <v>3533</v>
      </c>
      <c r="B430" s="14" t="str">
        <f>INDEX(orders!$F:$F,MATCH(A430,orders!$C:$C,0))</f>
        <v>Amii Gallyon</v>
      </c>
      <c r="C430" s="15">
        <f>_xlfn.MAXIFS(orders!$B:$B,orders!$C:$C,A430)</f>
        <v>44482</v>
      </c>
      <c r="D430" s="14">
        <f t="shared" si="37"/>
        <v>311</v>
      </c>
      <c r="E430" s="14">
        <f>COUNTIFS(orders!$C:$C,A430)</f>
        <v>1</v>
      </c>
      <c r="F430" s="16">
        <f>SUMIFS(orders!$M:$M,orders!$C:$C,A430)</f>
        <v>10.739999999999998</v>
      </c>
      <c r="G430" s="14" t="str">
        <f>INDEX(orders!$P:$P,MATCH(A430,orders!$C:$C,0))</f>
        <v>Yes</v>
      </c>
      <c r="H430" s="17">
        <f t="shared" si="38"/>
        <v>4</v>
      </c>
      <c r="I430" s="14">
        <f t="shared" si="39"/>
        <v>1</v>
      </c>
      <c r="J430">
        <f t="shared" si="40"/>
        <v>1</v>
      </c>
      <c r="K430" s="14">
        <f t="shared" si="41"/>
        <v>6</v>
      </c>
      <c r="L430" t="str">
        <f t="shared" si="42"/>
        <v>Standard One-Time Buyers</v>
      </c>
    </row>
    <row r="431" spans="1:12" x14ac:dyDescent="0.3">
      <c r="A431" s="12" t="s">
        <v>2809</v>
      </c>
      <c r="B431" s="14" t="str">
        <f>INDEX(orders!$F:$F,MATCH(A431,orders!$C:$C,0))</f>
        <v>Harwilll Bishell</v>
      </c>
      <c r="C431" s="15">
        <f>_xlfn.MAXIFS(orders!$B:$B,orders!$C:$C,A431)</f>
        <v>44504</v>
      </c>
      <c r="D431" s="14">
        <f t="shared" si="37"/>
        <v>289</v>
      </c>
      <c r="E431" s="14">
        <f>COUNTIFS(orders!$C:$C,A431)</f>
        <v>1</v>
      </c>
      <c r="F431" s="16">
        <f>SUMIFS(orders!$M:$M,orders!$C:$C,A431)</f>
        <v>87.300000000000011</v>
      </c>
      <c r="G431" s="14" t="str">
        <f>INDEX(orders!$P:$P,MATCH(A431,orders!$C:$C,0))</f>
        <v>Yes</v>
      </c>
      <c r="H431" s="17">
        <f t="shared" si="38"/>
        <v>4</v>
      </c>
      <c r="I431" s="14">
        <f t="shared" si="39"/>
        <v>1</v>
      </c>
      <c r="J431">
        <f t="shared" si="40"/>
        <v>5</v>
      </c>
      <c r="K431" s="14">
        <f t="shared" si="41"/>
        <v>10</v>
      </c>
      <c r="L431" t="str">
        <f t="shared" si="42"/>
        <v>Recent High-Value (One-Time)</v>
      </c>
    </row>
    <row r="432" spans="1:12" x14ac:dyDescent="0.3">
      <c r="A432" s="12" t="s">
        <v>2616</v>
      </c>
      <c r="B432" s="14" t="str">
        <f>INDEX(orders!$F:$F,MATCH(A432,orders!$C:$C,0))</f>
        <v>Vanya Skullet</v>
      </c>
      <c r="C432" s="15">
        <f>_xlfn.MAXIFS(orders!$B:$B,orders!$C:$C,A432)</f>
        <v>43532</v>
      </c>
      <c r="D432" s="14">
        <f t="shared" si="37"/>
        <v>1261</v>
      </c>
      <c r="E432" s="14">
        <f>COUNTIFS(orders!$C:$C,A432)</f>
        <v>1</v>
      </c>
      <c r="F432" s="16">
        <f>SUMIFS(orders!$M:$M,orders!$C:$C,A432)</f>
        <v>8.0549999999999997</v>
      </c>
      <c r="G432" s="14" t="str">
        <f>INDEX(orders!$P:$P,MATCH(A432,orders!$C:$C,0))</f>
        <v>No</v>
      </c>
      <c r="H432" s="17">
        <f t="shared" si="38"/>
        <v>1</v>
      </c>
      <c r="I432" s="14">
        <f t="shared" si="39"/>
        <v>1</v>
      </c>
      <c r="J432">
        <f t="shared" si="40"/>
        <v>1</v>
      </c>
      <c r="K432" s="14">
        <f t="shared" si="41"/>
        <v>3</v>
      </c>
      <c r="L432" t="str">
        <f t="shared" si="42"/>
        <v>Lapsed One-Time Buyers</v>
      </c>
    </row>
    <row r="433" spans="1:12" x14ac:dyDescent="0.3">
      <c r="A433" s="12" t="s">
        <v>1823</v>
      </c>
      <c r="B433" s="14" t="str">
        <f>INDEX(orders!$F:$F,MATCH(A433,orders!$C:$C,0))</f>
        <v>Carlie Harce</v>
      </c>
      <c r="C433" s="15">
        <f>_xlfn.MAXIFS(orders!$B:$B,orders!$C:$C,A433)</f>
        <v>43873</v>
      </c>
      <c r="D433" s="14">
        <f t="shared" si="37"/>
        <v>920</v>
      </c>
      <c r="E433" s="14">
        <f>COUNTIFS(orders!$C:$C,A433)</f>
        <v>1</v>
      </c>
      <c r="F433" s="16">
        <f>SUMIFS(orders!$M:$M,orders!$C:$C,A433)</f>
        <v>89.35499999999999</v>
      </c>
      <c r="G433" s="14" t="str">
        <f>INDEX(orders!$P:$P,MATCH(A433,orders!$C:$C,0))</f>
        <v>No</v>
      </c>
      <c r="H433" s="17">
        <f t="shared" si="38"/>
        <v>2</v>
      </c>
      <c r="I433" s="14">
        <f t="shared" si="39"/>
        <v>1</v>
      </c>
      <c r="J433">
        <f t="shared" si="40"/>
        <v>5</v>
      </c>
      <c r="K433" s="14">
        <f t="shared" si="41"/>
        <v>8</v>
      </c>
      <c r="L433" t="str">
        <f t="shared" si="42"/>
        <v>Lapsed One-Time Buyers</v>
      </c>
    </row>
    <row r="434" spans="1:12" x14ac:dyDescent="0.3">
      <c r="A434" s="12" t="s">
        <v>5013</v>
      </c>
      <c r="B434" s="14" t="str">
        <f>INDEX(orders!$F:$F,MATCH(A434,orders!$C:$C,0))</f>
        <v>Man Fright</v>
      </c>
      <c r="C434" s="15">
        <f>_xlfn.MAXIFS(orders!$B:$B,orders!$C:$C,A434)</f>
        <v>44240</v>
      </c>
      <c r="D434" s="14">
        <f t="shared" si="37"/>
        <v>553</v>
      </c>
      <c r="E434" s="14">
        <f>COUNTIFS(orders!$C:$C,A434)</f>
        <v>1</v>
      </c>
      <c r="F434" s="16">
        <f>SUMIFS(orders!$M:$M,orders!$C:$C,A434)</f>
        <v>16.11</v>
      </c>
      <c r="G434" s="14" t="str">
        <f>INDEX(orders!$P:$P,MATCH(A434,orders!$C:$C,0))</f>
        <v>No</v>
      </c>
      <c r="H434" s="17">
        <f t="shared" si="38"/>
        <v>3</v>
      </c>
      <c r="I434" s="14">
        <f t="shared" si="39"/>
        <v>1</v>
      </c>
      <c r="J434">
        <f t="shared" si="40"/>
        <v>2</v>
      </c>
      <c r="K434" s="14">
        <f t="shared" si="41"/>
        <v>6</v>
      </c>
      <c r="L434" t="str">
        <f t="shared" si="42"/>
        <v>Standard One-Time Buyers</v>
      </c>
    </row>
    <row r="435" spans="1:12" x14ac:dyDescent="0.3">
      <c r="A435" s="12" t="s">
        <v>2016</v>
      </c>
      <c r="B435" s="14" t="str">
        <f>INDEX(orders!$F:$F,MATCH(A435,orders!$C:$C,0))</f>
        <v>Barney Chisnell</v>
      </c>
      <c r="C435" s="15">
        <f>_xlfn.MAXIFS(orders!$B:$B,orders!$C:$C,A435)</f>
        <v>43655</v>
      </c>
      <c r="D435" s="14">
        <f t="shared" si="37"/>
        <v>1138</v>
      </c>
      <c r="E435" s="14">
        <f>COUNTIFS(orders!$C:$C,A435)</f>
        <v>1</v>
      </c>
      <c r="F435" s="16">
        <f>SUMIFS(orders!$M:$M,orders!$C:$C,A435)</f>
        <v>7.29</v>
      </c>
      <c r="G435" s="14" t="str">
        <f>INDEX(orders!$P:$P,MATCH(A435,orders!$C:$C,0))</f>
        <v>Yes</v>
      </c>
      <c r="H435" s="17">
        <f t="shared" si="38"/>
        <v>1</v>
      </c>
      <c r="I435" s="14">
        <f t="shared" si="39"/>
        <v>1</v>
      </c>
      <c r="J435">
        <f t="shared" si="40"/>
        <v>1</v>
      </c>
      <c r="K435" s="14">
        <f t="shared" si="41"/>
        <v>3</v>
      </c>
      <c r="L435" t="str">
        <f t="shared" si="42"/>
        <v>Lapsed One-Time Buyers</v>
      </c>
    </row>
    <row r="436" spans="1:12" x14ac:dyDescent="0.3">
      <c r="A436" s="12" t="s">
        <v>638</v>
      </c>
      <c r="B436" s="14" t="str">
        <f>INDEX(orders!$F:$F,MATCH(A436,orders!$C:$C,0))</f>
        <v>Selene Shales</v>
      </c>
      <c r="C436" s="15">
        <f>_xlfn.MAXIFS(orders!$B:$B,orders!$C:$C,A436)</f>
        <v>43516</v>
      </c>
      <c r="D436" s="14">
        <f t="shared" si="37"/>
        <v>1277</v>
      </c>
      <c r="E436" s="14">
        <f>COUNTIFS(orders!$C:$C,A436)</f>
        <v>1</v>
      </c>
      <c r="F436" s="16">
        <f>SUMIFS(orders!$M:$M,orders!$C:$C,A436)</f>
        <v>27</v>
      </c>
      <c r="G436" s="14" t="str">
        <f>INDEX(orders!$P:$P,MATCH(A436,orders!$C:$C,0))</f>
        <v>Yes</v>
      </c>
      <c r="H436" s="17">
        <f t="shared" si="38"/>
        <v>1</v>
      </c>
      <c r="I436" s="14">
        <f t="shared" si="39"/>
        <v>1</v>
      </c>
      <c r="J436">
        <f t="shared" si="40"/>
        <v>3</v>
      </c>
      <c r="K436" s="14">
        <f t="shared" si="41"/>
        <v>5</v>
      </c>
      <c r="L436" t="str">
        <f t="shared" si="42"/>
        <v>Lapsed One-Time Buyers</v>
      </c>
    </row>
    <row r="437" spans="1:12" x14ac:dyDescent="0.3">
      <c r="A437" s="12" t="s">
        <v>554</v>
      </c>
      <c r="B437" s="14" t="str">
        <f>INDEX(orders!$F:$F,MATCH(A437,orders!$C:$C,0))</f>
        <v>Duky Phizackerly</v>
      </c>
      <c r="C437" s="15">
        <f>_xlfn.MAXIFS(orders!$B:$B,orders!$C:$C,A437)</f>
        <v>44132</v>
      </c>
      <c r="D437" s="14">
        <f t="shared" si="37"/>
        <v>661</v>
      </c>
      <c r="E437" s="14">
        <f>COUNTIFS(orders!$C:$C,A437)</f>
        <v>1</v>
      </c>
      <c r="F437" s="16">
        <f>SUMIFS(orders!$M:$M,orders!$C:$C,A437)</f>
        <v>170.77499999999998</v>
      </c>
      <c r="G437" s="14" t="str">
        <f>INDEX(orders!$P:$P,MATCH(A437,orders!$C:$C,0))</f>
        <v>Yes</v>
      </c>
      <c r="H437" s="17">
        <f t="shared" si="38"/>
        <v>3</v>
      </c>
      <c r="I437" s="14">
        <f t="shared" si="39"/>
        <v>1</v>
      </c>
      <c r="J437">
        <f t="shared" si="40"/>
        <v>5</v>
      </c>
      <c r="K437" s="14">
        <f t="shared" si="41"/>
        <v>9</v>
      </c>
      <c r="L437" t="str">
        <f t="shared" si="42"/>
        <v>Standard One-Time Buyers</v>
      </c>
    </row>
    <row r="438" spans="1:12" x14ac:dyDescent="0.3">
      <c r="A438" s="12" t="s">
        <v>5241</v>
      </c>
      <c r="B438" s="14" t="str">
        <f>INDEX(orders!$F:$F,MATCH(A438,orders!$C:$C,0))</f>
        <v>Janeva Edinboro</v>
      </c>
      <c r="C438" s="15">
        <f>_xlfn.MAXIFS(orders!$B:$B,orders!$C:$C,A438)</f>
        <v>44574</v>
      </c>
      <c r="D438" s="14">
        <f t="shared" si="37"/>
        <v>219</v>
      </c>
      <c r="E438" s="14">
        <f>COUNTIFS(orders!$C:$C,A438)</f>
        <v>1</v>
      </c>
      <c r="F438" s="16">
        <f>SUMIFS(orders!$M:$M,orders!$C:$C,A438)</f>
        <v>28.679999999999996</v>
      </c>
      <c r="G438" s="14" t="str">
        <f>INDEX(orders!$P:$P,MATCH(A438,orders!$C:$C,0))</f>
        <v>Yes</v>
      </c>
      <c r="H438" s="17">
        <f t="shared" si="38"/>
        <v>5</v>
      </c>
      <c r="I438" s="14">
        <f t="shared" si="39"/>
        <v>1</v>
      </c>
      <c r="J438">
        <f t="shared" si="40"/>
        <v>3</v>
      </c>
      <c r="K438" s="14">
        <f t="shared" si="41"/>
        <v>9</v>
      </c>
      <c r="L438" t="str">
        <f t="shared" si="42"/>
        <v>Standard One-Time Buyers</v>
      </c>
    </row>
    <row r="439" spans="1:12" x14ac:dyDescent="0.3">
      <c r="A439" s="12" t="s">
        <v>3397</v>
      </c>
      <c r="B439" s="14" t="str">
        <f>INDEX(orders!$F:$F,MATCH(A439,orders!$C:$C,0))</f>
        <v>Pippo Witherington</v>
      </c>
      <c r="C439" s="15">
        <f>_xlfn.MAXIFS(orders!$B:$B,orders!$C:$C,A439)</f>
        <v>44555</v>
      </c>
      <c r="D439" s="14">
        <f t="shared" si="37"/>
        <v>238</v>
      </c>
      <c r="E439" s="14">
        <f>COUNTIFS(orders!$C:$C,A439)</f>
        <v>1</v>
      </c>
      <c r="F439" s="16">
        <f>SUMIFS(orders!$M:$M,orders!$C:$C,A439)</f>
        <v>26.19</v>
      </c>
      <c r="G439" s="14" t="str">
        <f>INDEX(orders!$P:$P,MATCH(A439,orders!$C:$C,0))</f>
        <v>Yes</v>
      </c>
      <c r="H439" s="17">
        <f t="shared" si="38"/>
        <v>5</v>
      </c>
      <c r="I439" s="14">
        <f t="shared" si="39"/>
        <v>1</v>
      </c>
      <c r="J439">
        <f t="shared" si="40"/>
        <v>3</v>
      </c>
      <c r="K439" s="14">
        <f t="shared" si="41"/>
        <v>9</v>
      </c>
      <c r="L439" t="str">
        <f t="shared" si="42"/>
        <v>Standard One-Time Buyers</v>
      </c>
    </row>
    <row r="440" spans="1:12" x14ac:dyDescent="0.3">
      <c r="A440" s="12" t="s">
        <v>4309</v>
      </c>
      <c r="B440" s="14" t="str">
        <f>INDEX(orders!$F:$F,MATCH(A440,orders!$C:$C,0))</f>
        <v>Gabey Cogan</v>
      </c>
      <c r="C440" s="15">
        <f>_xlfn.MAXIFS(orders!$B:$B,orders!$C:$C,A440)</f>
        <v>44217</v>
      </c>
      <c r="D440" s="14">
        <f t="shared" si="37"/>
        <v>576</v>
      </c>
      <c r="E440" s="14">
        <f>COUNTIFS(orders!$C:$C,A440)</f>
        <v>1</v>
      </c>
      <c r="F440" s="16">
        <f>SUMIFS(orders!$M:$M,orders!$C:$C,A440)</f>
        <v>47.55</v>
      </c>
      <c r="G440" s="14" t="str">
        <f>INDEX(orders!$P:$P,MATCH(A440,orders!$C:$C,0))</f>
        <v>No</v>
      </c>
      <c r="H440" s="17">
        <f t="shared" si="38"/>
        <v>3</v>
      </c>
      <c r="I440" s="14">
        <f t="shared" si="39"/>
        <v>1</v>
      </c>
      <c r="J440">
        <f t="shared" si="40"/>
        <v>4</v>
      </c>
      <c r="K440" s="14">
        <f t="shared" si="41"/>
        <v>8</v>
      </c>
      <c r="L440" t="str">
        <f t="shared" si="42"/>
        <v>Standard One-Time Buyers</v>
      </c>
    </row>
    <row r="441" spans="1:12" x14ac:dyDescent="0.3">
      <c r="A441" s="12" t="s">
        <v>1130</v>
      </c>
      <c r="B441" s="14" t="str">
        <f>INDEX(orders!$F:$F,MATCH(A441,orders!$C:$C,0))</f>
        <v>Carmina Hubbuck</v>
      </c>
      <c r="C441" s="15">
        <f>_xlfn.MAXIFS(orders!$B:$B,orders!$C:$C,A441)</f>
        <v>44265</v>
      </c>
      <c r="D441" s="14">
        <f t="shared" si="37"/>
        <v>528</v>
      </c>
      <c r="E441" s="14">
        <f>COUNTIFS(orders!$C:$C,A441)</f>
        <v>1</v>
      </c>
      <c r="F441" s="16">
        <f>SUMIFS(orders!$M:$M,orders!$C:$C,A441)</f>
        <v>14.339999999999998</v>
      </c>
      <c r="G441" s="14" t="str">
        <f>INDEX(orders!$P:$P,MATCH(A441,orders!$C:$C,0))</f>
        <v>No</v>
      </c>
      <c r="H441" s="17">
        <f t="shared" si="38"/>
        <v>3</v>
      </c>
      <c r="I441" s="14">
        <f t="shared" si="39"/>
        <v>1</v>
      </c>
      <c r="J441">
        <f t="shared" si="40"/>
        <v>2</v>
      </c>
      <c r="K441" s="14">
        <f t="shared" si="41"/>
        <v>6</v>
      </c>
      <c r="L441" t="str">
        <f t="shared" si="42"/>
        <v>Standard One-Time Buyers</v>
      </c>
    </row>
    <row r="442" spans="1:12" x14ac:dyDescent="0.3">
      <c r="A442" s="12" t="s">
        <v>2124</v>
      </c>
      <c r="B442" s="14" t="str">
        <f>INDEX(orders!$F:$F,MATCH(A442,orders!$C:$C,0))</f>
        <v>Marris Grcic</v>
      </c>
      <c r="C442" s="15">
        <f>_xlfn.MAXIFS(orders!$B:$B,orders!$C:$C,A442)</f>
        <v>43772</v>
      </c>
      <c r="D442" s="14">
        <f t="shared" si="37"/>
        <v>1021</v>
      </c>
      <c r="E442" s="14">
        <f>COUNTIFS(orders!$C:$C,A442)</f>
        <v>1</v>
      </c>
      <c r="F442" s="16">
        <f>SUMIFS(orders!$M:$M,orders!$C:$C,A442)</f>
        <v>13.424999999999997</v>
      </c>
      <c r="G442" s="14" t="str">
        <f>INDEX(orders!$P:$P,MATCH(A442,orders!$C:$C,0))</f>
        <v>Yes</v>
      </c>
      <c r="H442" s="17">
        <f t="shared" si="38"/>
        <v>2</v>
      </c>
      <c r="I442" s="14">
        <f t="shared" si="39"/>
        <v>1</v>
      </c>
      <c r="J442">
        <f t="shared" si="40"/>
        <v>1</v>
      </c>
      <c r="K442" s="14">
        <f t="shared" si="41"/>
        <v>4</v>
      </c>
      <c r="L442" t="str">
        <f t="shared" si="42"/>
        <v>Lapsed One-Time Buyers</v>
      </c>
    </row>
    <row r="443" spans="1:12" x14ac:dyDescent="0.3">
      <c r="A443" s="12" t="s">
        <v>5922</v>
      </c>
      <c r="B443" s="14" t="str">
        <f>INDEX(orders!$F:$F,MATCH(A443,orders!$C:$C,0))</f>
        <v>Florinda Matusovsky</v>
      </c>
      <c r="C443" s="15">
        <f>_xlfn.MAXIFS(orders!$B:$B,orders!$C:$C,A443)</f>
        <v>44158</v>
      </c>
      <c r="D443" s="14">
        <f t="shared" si="37"/>
        <v>635</v>
      </c>
      <c r="E443" s="14">
        <f>COUNTIFS(orders!$C:$C,A443)</f>
        <v>1</v>
      </c>
      <c r="F443" s="16">
        <f>SUMIFS(orders!$M:$M,orders!$C:$C,A443)</f>
        <v>45.769999999999996</v>
      </c>
      <c r="G443" s="14" t="str">
        <f>INDEX(orders!$P:$P,MATCH(A443,orders!$C:$C,0))</f>
        <v>Yes</v>
      </c>
      <c r="H443" s="17">
        <f t="shared" si="38"/>
        <v>3</v>
      </c>
      <c r="I443" s="14">
        <f t="shared" si="39"/>
        <v>1</v>
      </c>
      <c r="J443">
        <f t="shared" si="40"/>
        <v>4</v>
      </c>
      <c r="K443" s="14">
        <f t="shared" si="41"/>
        <v>8</v>
      </c>
      <c r="L443" t="str">
        <f t="shared" si="42"/>
        <v>Standard One-Time Buyers</v>
      </c>
    </row>
    <row r="444" spans="1:12" x14ac:dyDescent="0.3">
      <c r="A444" s="12" t="s">
        <v>4626</v>
      </c>
      <c r="B444" s="14" t="str">
        <f>INDEX(orders!$F:$F,MATCH(A444,orders!$C:$C,0))</f>
        <v>Jacquelyn Maha</v>
      </c>
      <c r="C444" s="15">
        <f>_xlfn.MAXIFS(orders!$B:$B,orders!$C:$C,A444)</f>
        <v>44312</v>
      </c>
      <c r="D444" s="14">
        <f t="shared" si="37"/>
        <v>481</v>
      </c>
      <c r="E444" s="14">
        <f>COUNTIFS(orders!$C:$C,A444)</f>
        <v>1</v>
      </c>
      <c r="F444" s="16">
        <f>SUMIFS(orders!$M:$M,orders!$C:$C,A444)</f>
        <v>8.91</v>
      </c>
      <c r="G444" s="14" t="str">
        <f>INDEX(orders!$P:$P,MATCH(A444,orders!$C:$C,0))</f>
        <v>No</v>
      </c>
      <c r="H444" s="17">
        <f t="shared" si="38"/>
        <v>4</v>
      </c>
      <c r="I444" s="14">
        <f t="shared" si="39"/>
        <v>1</v>
      </c>
      <c r="J444">
        <f t="shared" si="40"/>
        <v>1</v>
      </c>
      <c r="K444" s="14">
        <f t="shared" si="41"/>
        <v>6</v>
      </c>
      <c r="L444" t="str">
        <f t="shared" si="42"/>
        <v>Standard One-Time Buyers</v>
      </c>
    </row>
    <row r="445" spans="1:12" x14ac:dyDescent="0.3">
      <c r="A445" s="12" t="s">
        <v>712</v>
      </c>
      <c r="B445" s="14" t="str">
        <f>INDEX(orders!$F:$F,MATCH(A445,orders!$C:$C,0))</f>
        <v>Hy Zanetto</v>
      </c>
      <c r="C445" s="15">
        <f>_xlfn.MAXIFS(orders!$B:$B,orders!$C:$C,A445)</f>
        <v>44524</v>
      </c>
      <c r="D445" s="14">
        <f t="shared" si="37"/>
        <v>269</v>
      </c>
      <c r="E445" s="14">
        <f>COUNTIFS(orders!$C:$C,A445)</f>
        <v>1</v>
      </c>
      <c r="F445" s="16">
        <f>SUMIFS(orders!$M:$M,orders!$C:$C,A445)</f>
        <v>59.699999999999996</v>
      </c>
      <c r="G445" s="14" t="str">
        <f>INDEX(orders!$P:$P,MATCH(A445,orders!$C:$C,0))</f>
        <v>Yes</v>
      </c>
      <c r="H445" s="17">
        <f t="shared" si="38"/>
        <v>4</v>
      </c>
      <c r="I445" s="14">
        <f t="shared" si="39"/>
        <v>1</v>
      </c>
      <c r="J445">
        <f t="shared" si="40"/>
        <v>4</v>
      </c>
      <c r="K445" s="14">
        <f t="shared" si="41"/>
        <v>9</v>
      </c>
      <c r="L445" t="str">
        <f t="shared" si="42"/>
        <v>Recent High-Value (One-Time)</v>
      </c>
    </row>
    <row r="446" spans="1:12" x14ac:dyDescent="0.3">
      <c r="A446" s="12" t="s">
        <v>3022</v>
      </c>
      <c r="B446" s="14" t="str">
        <f>INDEX(orders!$F:$F,MATCH(A446,orders!$C:$C,0))</f>
        <v>Antone Harrold</v>
      </c>
      <c r="C446" s="15">
        <f>_xlfn.MAXIFS(orders!$B:$B,orders!$C:$C,A446)</f>
        <v>44336</v>
      </c>
      <c r="D446" s="14">
        <f t="shared" si="37"/>
        <v>457</v>
      </c>
      <c r="E446" s="14">
        <f>COUNTIFS(orders!$C:$C,A446)</f>
        <v>1</v>
      </c>
      <c r="F446" s="16">
        <f>SUMIFS(orders!$M:$M,orders!$C:$C,A446)</f>
        <v>5.3699999999999992</v>
      </c>
      <c r="G446" s="14" t="str">
        <f>INDEX(orders!$P:$P,MATCH(A446,orders!$C:$C,0))</f>
        <v>No</v>
      </c>
      <c r="H446" s="17">
        <f t="shared" si="38"/>
        <v>4</v>
      </c>
      <c r="I446" s="14">
        <f t="shared" si="39"/>
        <v>1</v>
      </c>
      <c r="J446">
        <f t="shared" si="40"/>
        <v>1</v>
      </c>
      <c r="K446" s="14">
        <f t="shared" si="41"/>
        <v>6</v>
      </c>
      <c r="L446" t="str">
        <f t="shared" si="42"/>
        <v>Standard One-Time Buyers</v>
      </c>
    </row>
    <row r="447" spans="1:12" x14ac:dyDescent="0.3">
      <c r="A447" s="12" t="s">
        <v>3107</v>
      </c>
      <c r="B447" s="14" t="str">
        <f>INDEX(orders!$F:$F,MATCH(A447,orders!$C:$C,0))</f>
        <v>Adolphe Treherne</v>
      </c>
      <c r="C447" s="15">
        <f>_xlfn.MAXIFS(orders!$B:$B,orders!$C:$C,A447)</f>
        <v>43730</v>
      </c>
      <c r="D447" s="14">
        <f t="shared" si="37"/>
        <v>1063</v>
      </c>
      <c r="E447" s="14">
        <f>COUNTIFS(orders!$C:$C,A447)</f>
        <v>1</v>
      </c>
      <c r="F447" s="16">
        <f>SUMIFS(orders!$M:$M,orders!$C:$C,A447)</f>
        <v>27.5</v>
      </c>
      <c r="G447" s="14" t="str">
        <f>INDEX(orders!$P:$P,MATCH(A447,orders!$C:$C,0))</f>
        <v>No</v>
      </c>
      <c r="H447" s="17">
        <f t="shared" si="38"/>
        <v>1</v>
      </c>
      <c r="I447" s="14">
        <f t="shared" si="39"/>
        <v>1</v>
      </c>
      <c r="J447">
        <f t="shared" si="40"/>
        <v>3</v>
      </c>
      <c r="K447" s="14">
        <f t="shared" si="41"/>
        <v>5</v>
      </c>
      <c r="L447" t="str">
        <f t="shared" si="42"/>
        <v>Lapsed One-Time Buyers</v>
      </c>
    </row>
    <row r="448" spans="1:12" x14ac:dyDescent="0.3">
      <c r="A448" s="12" t="s">
        <v>644</v>
      </c>
      <c r="B448" s="14" t="str">
        <f>INDEX(orders!$F:$F,MATCH(A448,orders!$C:$C,0))</f>
        <v>Vivie Danneil</v>
      </c>
      <c r="C448" s="15">
        <f>_xlfn.MAXIFS(orders!$B:$B,orders!$C:$C,A448)</f>
        <v>43746</v>
      </c>
      <c r="D448" s="14">
        <f t="shared" si="37"/>
        <v>1047</v>
      </c>
      <c r="E448" s="14">
        <f>COUNTIFS(orders!$C:$C,A448)</f>
        <v>1</v>
      </c>
      <c r="F448" s="16">
        <f>SUMIFS(orders!$M:$M,orders!$C:$C,A448)</f>
        <v>16.875</v>
      </c>
      <c r="G448" s="14" t="str">
        <f>INDEX(orders!$P:$P,MATCH(A448,orders!$C:$C,0))</f>
        <v>No</v>
      </c>
      <c r="H448" s="17">
        <f t="shared" si="38"/>
        <v>1</v>
      </c>
      <c r="I448" s="14">
        <f t="shared" si="39"/>
        <v>1</v>
      </c>
      <c r="J448">
        <f t="shared" si="40"/>
        <v>2</v>
      </c>
      <c r="K448" s="14">
        <f t="shared" si="41"/>
        <v>4</v>
      </c>
      <c r="L448" t="str">
        <f t="shared" si="42"/>
        <v>Lapsed One-Time Buyers</v>
      </c>
    </row>
    <row r="449" spans="1:12" x14ac:dyDescent="0.3">
      <c r="A449" s="12" t="s">
        <v>3290</v>
      </c>
      <c r="B449" s="14" t="str">
        <f>INDEX(orders!$F:$F,MATCH(A449,orders!$C:$C,0))</f>
        <v>Currey MacAllister</v>
      </c>
      <c r="C449" s="15">
        <f>_xlfn.MAXIFS(orders!$B:$B,orders!$C:$C,A449)</f>
        <v>43710</v>
      </c>
      <c r="D449" s="14">
        <f t="shared" si="37"/>
        <v>1083</v>
      </c>
      <c r="E449" s="14">
        <f>COUNTIFS(orders!$C:$C,A449)</f>
        <v>1</v>
      </c>
      <c r="F449" s="16">
        <f>SUMIFS(orders!$M:$M,orders!$C:$C,A449)</f>
        <v>79.25</v>
      </c>
      <c r="G449" s="14" t="str">
        <f>INDEX(orders!$P:$P,MATCH(A449,orders!$C:$C,0))</f>
        <v>Yes</v>
      </c>
      <c r="H449" s="17">
        <f t="shared" si="38"/>
        <v>1</v>
      </c>
      <c r="I449" s="14">
        <f t="shared" si="39"/>
        <v>1</v>
      </c>
      <c r="J449">
        <f t="shared" si="40"/>
        <v>5</v>
      </c>
      <c r="K449" s="14">
        <f t="shared" si="41"/>
        <v>7</v>
      </c>
      <c r="L449" t="str">
        <f t="shared" si="42"/>
        <v>Lapsed One-Time Buyers</v>
      </c>
    </row>
    <row r="450" spans="1:12" x14ac:dyDescent="0.3">
      <c r="A450" s="12" t="s">
        <v>5136</v>
      </c>
      <c r="B450" s="14" t="str">
        <f>INDEX(orders!$F:$F,MATCH(A450,orders!$C:$C,0))</f>
        <v>Lyndsey MacManus</v>
      </c>
      <c r="C450" s="15">
        <f>_xlfn.MAXIFS(orders!$B:$B,orders!$C:$C,A450)</f>
        <v>43585</v>
      </c>
      <c r="D450" s="14">
        <f t="shared" si="37"/>
        <v>1208</v>
      </c>
      <c r="E450" s="14">
        <f>COUNTIFS(orders!$C:$C,A450)</f>
        <v>1</v>
      </c>
      <c r="F450" s="16">
        <f>SUMIFS(orders!$M:$M,orders!$C:$C,A450)</f>
        <v>136.61999999999998</v>
      </c>
      <c r="G450" s="14" t="str">
        <f>INDEX(orders!$P:$P,MATCH(A450,orders!$C:$C,0))</f>
        <v>No</v>
      </c>
      <c r="H450" s="17">
        <f t="shared" si="38"/>
        <v>1</v>
      </c>
      <c r="I450" s="14">
        <f t="shared" si="39"/>
        <v>1</v>
      </c>
      <c r="J450">
        <f t="shared" si="40"/>
        <v>5</v>
      </c>
      <c r="K450" s="14">
        <f t="shared" si="41"/>
        <v>7</v>
      </c>
      <c r="L450" t="str">
        <f t="shared" si="42"/>
        <v>Lapsed One-Time Buyers</v>
      </c>
    </row>
    <row r="451" spans="1:12" x14ac:dyDescent="0.3">
      <c r="A451" s="12" t="s">
        <v>2987</v>
      </c>
      <c r="B451" s="14" t="str">
        <f>INDEX(orders!$F:$F,MATCH(A451,orders!$C:$C,0))</f>
        <v>Theo Bowne</v>
      </c>
      <c r="C451" s="15">
        <f>_xlfn.MAXIFS(orders!$B:$B,orders!$C:$C,A451)</f>
        <v>44250</v>
      </c>
      <c r="D451" s="14">
        <f t="shared" si="37"/>
        <v>543</v>
      </c>
      <c r="E451" s="14">
        <f>COUNTIFS(orders!$C:$C,A451)</f>
        <v>1</v>
      </c>
      <c r="F451" s="16">
        <f>SUMIFS(orders!$M:$M,orders!$C:$C,A451)</f>
        <v>22.274999999999999</v>
      </c>
      <c r="G451" s="14" t="str">
        <f>INDEX(orders!$P:$P,MATCH(A451,orders!$C:$C,0))</f>
        <v>Yes</v>
      </c>
      <c r="H451" s="17">
        <f t="shared" si="38"/>
        <v>3</v>
      </c>
      <c r="I451" s="14">
        <f t="shared" si="39"/>
        <v>1</v>
      </c>
      <c r="J451">
        <f t="shared" si="40"/>
        <v>2</v>
      </c>
      <c r="K451" s="14">
        <f t="shared" si="41"/>
        <v>6</v>
      </c>
      <c r="L451" t="str">
        <f t="shared" si="42"/>
        <v>Standard One-Time Buyers</v>
      </c>
    </row>
    <row r="452" spans="1:12" x14ac:dyDescent="0.3">
      <c r="A452" s="12" t="s">
        <v>4586</v>
      </c>
      <c r="B452" s="14" t="str">
        <f>INDEX(orders!$F:$F,MATCH(A452,orders!$C:$C,0))</f>
        <v>Cristina Aleixo</v>
      </c>
      <c r="C452" s="15">
        <f>_xlfn.MAXIFS(orders!$B:$B,orders!$C:$C,A452)</f>
        <v>44043</v>
      </c>
      <c r="D452" s="14">
        <f t="shared" si="37"/>
        <v>750</v>
      </c>
      <c r="E452" s="14">
        <f>COUNTIFS(orders!$C:$C,A452)</f>
        <v>1</v>
      </c>
      <c r="F452" s="16">
        <f>SUMIFS(orders!$M:$M,orders!$C:$C,A452)</f>
        <v>23.31</v>
      </c>
      <c r="G452" s="14" t="str">
        <f>INDEX(orders!$P:$P,MATCH(A452,orders!$C:$C,0))</f>
        <v>No</v>
      </c>
      <c r="H452" s="17">
        <f t="shared" si="38"/>
        <v>3</v>
      </c>
      <c r="I452" s="14">
        <f t="shared" si="39"/>
        <v>1</v>
      </c>
      <c r="J452">
        <f t="shared" si="40"/>
        <v>2</v>
      </c>
      <c r="K452" s="14">
        <f t="shared" si="41"/>
        <v>6</v>
      </c>
      <c r="L452" t="str">
        <f t="shared" si="42"/>
        <v>Standard One-Time Buyers</v>
      </c>
    </row>
    <row r="453" spans="1:12" x14ac:dyDescent="0.3">
      <c r="A453" s="12" t="s">
        <v>5019</v>
      </c>
      <c r="B453" s="14" t="str">
        <f>INDEX(orders!$F:$F,MATCH(A453,orders!$C:$C,0))</f>
        <v>Boyce Tarte</v>
      </c>
      <c r="C453" s="15">
        <f>_xlfn.MAXIFS(orders!$B:$B,orders!$C:$C,A453)</f>
        <v>44025</v>
      </c>
      <c r="D453" s="14">
        <f t="shared" si="37"/>
        <v>768</v>
      </c>
      <c r="E453" s="14">
        <f>COUNTIFS(orders!$C:$C,A453)</f>
        <v>1</v>
      </c>
      <c r="F453" s="16">
        <f>SUMIFS(orders!$M:$M,orders!$C:$C,A453)</f>
        <v>41.169999999999995</v>
      </c>
      <c r="G453" s="14" t="str">
        <f>INDEX(orders!$P:$P,MATCH(A453,orders!$C:$C,0))</f>
        <v>Yes</v>
      </c>
      <c r="H453" s="17">
        <f t="shared" si="38"/>
        <v>2</v>
      </c>
      <c r="I453" s="14">
        <f t="shared" si="39"/>
        <v>1</v>
      </c>
      <c r="J453">
        <f t="shared" si="40"/>
        <v>3</v>
      </c>
      <c r="K453" s="14">
        <f t="shared" si="41"/>
        <v>6</v>
      </c>
      <c r="L453" t="str">
        <f t="shared" si="42"/>
        <v>Lapsed One-Time Buyers</v>
      </c>
    </row>
    <row r="454" spans="1:12" x14ac:dyDescent="0.3">
      <c r="A454" s="12" t="s">
        <v>5508</v>
      </c>
      <c r="B454" s="14" t="str">
        <f>INDEX(orders!$F:$F,MATCH(A454,orders!$C:$C,0))</f>
        <v>Kienan Ferson</v>
      </c>
      <c r="C454" s="15">
        <f>_xlfn.MAXIFS(orders!$B:$B,orders!$C:$C,A454)</f>
        <v>44002</v>
      </c>
      <c r="D454" s="14">
        <f t="shared" ref="D454:D517" si="43">$B$1-C454</f>
        <v>791</v>
      </c>
      <c r="E454" s="14">
        <f>COUNTIFS(orders!$C:$C,A454)</f>
        <v>1</v>
      </c>
      <c r="F454" s="16">
        <f>SUMIFS(orders!$M:$M,orders!$C:$C,A454)</f>
        <v>13.365</v>
      </c>
      <c r="G454" s="14" t="str">
        <f>INDEX(orders!$P:$P,MATCH(A454,orders!$C:$C,0))</f>
        <v>No</v>
      </c>
      <c r="H454" s="17">
        <f t="shared" ref="H454:H517" si="44">IF(D454&lt;=$E$1,5,IF(D454&lt;=$F$1,4,IF(D454&lt;=$G$1,3,IF(D454&lt;=$H$1,2,1))))</f>
        <v>2</v>
      </c>
      <c r="I454" s="14">
        <f t="shared" ref="I454:I517" si="45">IF(E454&lt;=1,1,IF(E454&lt;=2,3,5))</f>
        <v>1</v>
      </c>
      <c r="J454">
        <f t="shared" ref="J454:J517" si="46">IF(F454&lt;=PERCENTILE($F$5:$F$917,0.2),1,IF(F454&lt;=PERCENTILE($F$5:$F$917,0.4),2,IF(F454&lt;=PERCENTILE($F$5:$F$917,0.6),3,IF(F454&lt;=PERCENTILE($F$5:$F$917,0.8),4,5))))</f>
        <v>1</v>
      </c>
      <c r="K454" s="14">
        <f t="shared" ref="K454:K517" si="47">H454+I454+J454</f>
        <v>4</v>
      </c>
      <c r="L454" t="str">
        <f t="shared" ref="L454:L517" si="48">IF(AND(E454&gt;=2,H454&gt;=4),"Loyal Repeat Customers",IF(E454&gt;=2,"At-Risk Repeat Customers",IF(AND(H454&gt;=4,J454&gt;=4),"Recent High-Value (One-Time)",IF(H454&lt;=2,"Lapsed One-Time Buyers","Standard One-Time Buyers"))))</f>
        <v>Lapsed One-Time Buyers</v>
      </c>
    </row>
    <row r="455" spans="1:12" x14ac:dyDescent="0.3">
      <c r="A455" s="12" t="s">
        <v>6065</v>
      </c>
      <c r="B455" s="14" t="str">
        <f>INDEX(orders!$F:$F,MATCH(A455,orders!$C:$C,0))</f>
        <v>Claudell Ayre</v>
      </c>
      <c r="C455" s="15">
        <f>_xlfn.MAXIFS(orders!$B:$B,orders!$C:$C,A455)</f>
        <v>43955</v>
      </c>
      <c r="D455" s="14">
        <f t="shared" si="43"/>
        <v>838</v>
      </c>
      <c r="E455" s="14">
        <f>COUNTIFS(orders!$C:$C,A455)</f>
        <v>1</v>
      </c>
      <c r="F455" s="16">
        <f>SUMIFS(orders!$M:$M,orders!$C:$C,A455)</f>
        <v>33.464999999999996</v>
      </c>
      <c r="G455" s="14" t="str">
        <f>INDEX(orders!$P:$P,MATCH(A455,orders!$C:$C,0))</f>
        <v>No</v>
      </c>
      <c r="H455" s="17">
        <f t="shared" si="44"/>
        <v>2</v>
      </c>
      <c r="I455" s="14">
        <f t="shared" si="45"/>
        <v>1</v>
      </c>
      <c r="J455">
        <f t="shared" si="46"/>
        <v>3</v>
      </c>
      <c r="K455" s="14">
        <f t="shared" si="47"/>
        <v>6</v>
      </c>
      <c r="L455" t="str">
        <f t="shared" si="48"/>
        <v>Lapsed One-Time Buyers</v>
      </c>
    </row>
    <row r="456" spans="1:12" x14ac:dyDescent="0.3">
      <c r="A456" s="12" t="s">
        <v>662</v>
      </c>
      <c r="B456" s="14" t="str">
        <f>INDEX(orders!$F:$F,MATCH(A456,orders!$C:$C,0))</f>
        <v>Adrian Swaine</v>
      </c>
      <c r="C456" s="15">
        <f>_xlfn.MAXIFS(orders!$B:$B,orders!$C:$C,A456)</f>
        <v>44464</v>
      </c>
      <c r="D456" s="14">
        <f t="shared" si="43"/>
        <v>329</v>
      </c>
      <c r="E456" s="14">
        <f>COUNTIFS(orders!$C:$C,A456)</f>
        <v>3</v>
      </c>
      <c r="F456" s="16">
        <f>SUMIFS(orders!$M:$M,orders!$C:$C,A456)</f>
        <v>110.02500000000001</v>
      </c>
      <c r="G456" s="14" t="str">
        <f>INDEX(orders!$P:$P,MATCH(A456,orders!$C:$C,0))</f>
        <v>No</v>
      </c>
      <c r="H456" s="17">
        <f t="shared" si="44"/>
        <v>4</v>
      </c>
      <c r="I456" s="14">
        <f t="shared" si="45"/>
        <v>5</v>
      </c>
      <c r="J456">
        <f t="shared" si="46"/>
        <v>5</v>
      </c>
      <c r="K456" s="14">
        <f t="shared" si="47"/>
        <v>14</v>
      </c>
      <c r="L456" t="str">
        <f t="shared" si="48"/>
        <v>Loyal Repeat Customers</v>
      </c>
    </row>
    <row r="457" spans="1:12" x14ac:dyDescent="0.3">
      <c r="A457" s="12" t="s">
        <v>1460</v>
      </c>
      <c r="B457" s="14" t="str">
        <f>INDEX(orders!$F:$F,MATCH(A457,orders!$C:$C,0))</f>
        <v>Bartholemy Flaherty</v>
      </c>
      <c r="C457" s="15">
        <f>_xlfn.MAXIFS(orders!$B:$B,orders!$C:$C,A457)</f>
        <v>44545</v>
      </c>
      <c r="D457" s="14">
        <f t="shared" si="43"/>
        <v>248</v>
      </c>
      <c r="E457" s="14">
        <f>COUNTIFS(orders!$C:$C,A457)</f>
        <v>1</v>
      </c>
      <c r="F457" s="16">
        <f>SUMIFS(orders!$M:$M,orders!$C:$C,A457)</f>
        <v>21.87</v>
      </c>
      <c r="G457" s="14" t="str">
        <f>INDEX(orders!$P:$P,MATCH(A457,orders!$C:$C,0))</f>
        <v>No</v>
      </c>
      <c r="H457" s="17">
        <f t="shared" si="44"/>
        <v>5</v>
      </c>
      <c r="I457" s="14">
        <f t="shared" si="45"/>
        <v>1</v>
      </c>
      <c r="J457">
        <f t="shared" si="46"/>
        <v>2</v>
      </c>
      <c r="K457" s="14">
        <f t="shared" si="47"/>
        <v>8</v>
      </c>
      <c r="L457" t="str">
        <f t="shared" si="48"/>
        <v>Standard One-Time Buyers</v>
      </c>
    </row>
    <row r="458" spans="1:12" x14ac:dyDescent="0.3">
      <c r="A458" s="12" t="s">
        <v>2092</v>
      </c>
      <c r="B458" s="14" t="str">
        <f>INDEX(orders!$F:$F,MATCH(A458,orders!$C:$C,0))</f>
        <v>Amity Chatto</v>
      </c>
      <c r="C458" s="15">
        <f>_xlfn.MAXIFS(orders!$B:$B,orders!$C:$C,A458)</f>
        <v>43639</v>
      </c>
      <c r="D458" s="14">
        <f t="shared" si="43"/>
        <v>1154</v>
      </c>
      <c r="E458" s="14">
        <f>COUNTIFS(orders!$C:$C,A458)</f>
        <v>1</v>
      </c>
      <c r="F458" s="16">
        <f>SUMIFS(orders!$M:$M,orders!$C:$C,A458)</f>
        <v>5.3699999999999992</v>
      </c>
      <c r="G458" s="14" t="str">
        <f>INDEX(orders!$P:$P,MATCH(A458,orders!$C:$C,0))</f>
        <v>Yes</v>
      </c>
      <c r="H458" s="17">
        <f t="shared" si="44"/>
        <v>1</v>
      </c>
      <c r="I458" s="14">
        <f t="shared" si="45"/>
        <v>1</v>
      </c>
      <c r="J458">
        <f t="shared" si="46"/>
        <v>1</v>
      </c>
      <c r="K458" s="14">
        <f t="shared" si="47"/>
        <v>3</v>
      </c>
      <c r="L458" t="str">
        <f t="shared" si="48"/>
        <v>Lapsed One-Time Buyers</v>
      </c>
    </row>
    <row r="459" spans="1:12" x14ac:dyDescent="0.3">
      <c r="A459" s="12" t="s">
        <v>4944</v>
      </c>
      <c r="B459" s="14" t="str">
        <f>INDEX(orders!$F:$F,MATCH(A459,orders!$C:$C,0))</f>
        <v>Kaela Nottram</v>
      </c>
      <c r="C459" s="15">
        <f>_xlfn.MAXIFS(orders!$B:$B,orders!$C:$C,A459)</f>
        <v>44771</v>
      </c>
      <c r="D459" s="14">
        <f t="shared" si="43"/>
        <v>22</v>
      </c>
      <c r="E459" s="14">
        <f>COUNTIFS(orders!$C:$C,A459)</f>
        <v>1</v>
      </c>
      <c r="F459" s="16">
        <f>SUMIFS(orders!$M:$M,orders!$C:$C,A459)</f>
        <v>45.769999999999996</v>
      </c>
      <c r="G459" s="14" t="str">
        <f>INDEX(orders!$P:$P,MATCH(A459,orders!$C:$C,0))</f>
        <v>Yes</v>
      </c>
      <c r="H459" s="17">
        <f t="shared" si="44"/>
        <v>5</v>
      </c>
      <c r="I459" s="14">
        <f t="shared" si="45"/>
        <v>1</v>
      </c>
      <c r="J459">
        <f t="shared" si="46"/>
        <v>4</v>
      </c>
      <c r="K459" s="14">
        <f t="shared" si="47"/>
        <v>10</v>
      </c>
      <c r="L459" t="str">
        <f t="shared" si="48"/>
        <v>Recent High-Value (One-Time)</v>
      </c>
    </row>
    <row r="460" spans="1:12" x14ac:dyDescent="0.3">
      <c r="A460" s="12" t="s">
        <v>5738</v>
      </c>
      <c r="B460" s="14" t="str">
        <f>INDEX(orders!$F:$F,MATCH(A460,orders!$C:$C,0))</f>
        <v>Mathilda Matiasek</v>
      </c>
      <c r="C460" s="15">
        <f>_xlfn.MAXIFS(orders!$B:$B,orders!$C:$C,A460)</f>
        <v>44754</v>
      </c>
      <c r="D460" s="14">
        <f t="shared" si="43"/>
        <v>39</v>
      </c>
      <c r="E460" s="14">
        <f>COUNTIFS(orders!$C:$C,A460)</f>
        <v>1</v>
      </c>
      <c r="F460" s="16">
        <f>SUMIFS(orders!$M:$M,orders!$C:$C,A460)</f>
        <v>63.249999999999993</v>
      </c>
      <c r="G460" s="14" t="str">
        <f>INDEX(orders!$P:$P,MATCH(A460,orders!$C:$C,0))</f>
        <v>Yes</v>
      </c>
      <c r="H460" s="17">
        <f t="shared" si="44"/>
        <v>5</v>
      </c>
      <c r="I460" s="14">
        <f t="shared" si="45"/>
        <v>1</v>
      </c>
      <c r="J460">
        <f t="shared" si="46"/>
        <v>4</v>
      </c>
      <c r="K460" s="14">
        <f t="shared" si="47"/>
        <v>10</v>
      </c>
      <c r="L460" t="str">
        <f t="shared" si="48"/>
        <v>Recent High-Value (One-Time)</v>
      </c>
    </row>
    <row r="461" spans="1:12" x14ac:dyDescent="0.3">
      <c r="A461" s="12" t="s">
        <v>3845</v>
      </c>
      <c r="B461" s="14" t="str">
        <f>INDEX(orders!$F:$F,MATCH(A461,orders!$C:$C,0))</f>
        <v>Gabriel Starcks</v>
      </c>
      <c r="C461" s="15">
        <f>_xlfn.MAXIFS(orders!$B:$B,orders!$C:$C,A461)</f>
        <v>43512</v>
      </c>
      <c r="D461" s="14">
        <f t="shared" si="43"/>
        <v>1281</v>
      </c>
      <c r="E461" s="14">
        <f>COUNTIFS(orders!$C:$C,A461)</f>
        <v>1</v>
      </c>
      <c r="F461" s="16">
        <f>SUMIFS(orders!$M:$M,orders!$C:$C,A461)</f>
        <v>59.569999999999993</v>
      </c>
      <c r="G461" s="14" t="str">
        <f>INDEX(orders!$P:$P,MATCH(A461,orders!$C:$C,0))</f>
        <v>No</v>
      </c>
      <c r="H461" s="17">
        <f t="shared" si="44"/>
        <v>1</v>
      </c>
      <c r="I461" s="14">
        <f t="shared" si="45"/>
        <v>1</v>
      </c>
      <c r="J461">
        <f t="shared" si="46"/>
        <v>4</v>
      </c>
      <c r="K461" s="14">
        <f t="shared" si="47"/>
        <v>6</v>
      </c>
      <c r="L461" t="str">
        <f t="shared" si="48"/>
        <v>Lapsed One-Time Buyers</v>
      </c>
    </row>
    <row r="462" spans="1:12" x14ac:dyDescent="0.3">
      <c r="A462" s="12" t="s">
        <v>5581</v>
      </c>
      <c r="B462" s="14" t="str">
        <f>INDEX(orders!$F:$F,MATCH(A462,orders!$C:$C,0))</f>
        <v>Skelly Dolohunty</v>
      </c>
      <c r="C462" s="15">
        <f>_xlfn.MAXIFS(orders!$B:$B,orders!$C:$C,A462)</f>
        <v>44584</v>
      </c>
      <c r="D462" s="14">
        <f t="shared" si="43"/>
        <v>209</v>
      </c>
      <c r="E462" s="14">
        <f>COUNTIFS(orders!$C:$C,A462)</f>
        <v>1</v>
      </c>
      <c r="F462" s="16">
        <f>SUMIFS(orders!$M:$M,orders!$C:$C,A462)</f>
        <v>47.55</v>
      </c>
      <c r="G462" s="14" t="str">
        <f>INDEX(orders!$P:$P,MATCH(A462,orders!$C:$C,0))</f>
        <v>No</v>
      </c>
      <c r="H462" s="17">
        <f t="shared" si="44"/>
        <v>5</v>
      </c>
      <c r="I462" s="14">
        <f t="shared" si="45"/>
        <v>1</v>
      </c>
      <c r="J462">
        <f t="shared" si="46"/>
        <v>4</v>
      </c>
      <c r="K462" s="14">
        <f t="shared" si="47"/>
        <v>10</v>
      </c>
      <c r="L462" t="str">
        <f t="shared" si="48"/>
        <v>Recent High-Value (One-Time)</v>
      </c>
    </row>
    <row r="463" spans="1:12" x14ac:dyDescent="0.3">
      <c r="A463" s="12" t="s">
        <v>1414</v>
      </c>
      <c r="B463" s="14" t="str">
        <f>INDEX(orders!$F:$F,MATCH(A463,orders!$C:$C,0))</f>
        <v>Claiborne Feye</v>
      </c>
      <c r="C463" s="15">
        <f>_xlfn.MAXIFS(orders!$B:$B,orders!$C:$C,A463)</f>
        <v>44182</v>
      </c>
      <c r="D463" s="14">
        <f t="shared" si="43"/>
        <v>611</v>
      </c>
      <c r="E463" s="14">
        <f>COUNTIFS(orders!$C:$C,A463)</f>
        <v>1</v>
      </c>
      <c r="F463" s="16">
        <f>SUMIFS(orders!$M:$M,orders!$C:$C,A463)</f>
        <v>29.16</v>
      </c>
      <c r="G463" s="14" t="str">
        <f>INDEX(orders!$P:$P,MATCH(A463,orders!$C:$C,0))</f>
        <v>No</v>
      </c>
      <c r="H463" s="17">
        <f t="shared" si="44"/>
        <v>3</v>
      </c>
      <c r="I463" s="14">
        <f t="shared" si="45"/>
        <v>1</v>
      </c>
      <c r="J463">
        <f t="shared" si="46"/>
        <v>3</v>
      </c>
      <c r="K463" s="14">
        <f t="shared" si="47"/>
        <v>7</v>
      </c>
      <c r="L463" t="str">
        <f t="shared" si="48"/>
        <v>Standard One-Time Buyers</v>
      </c>
    </row>
    <row r="464" spans="1:12" x14ac:dyDescent="0.3">
      <c r="A464" s="12" t="s">
        <v>5274</v>
      </c>
      <c r="B464" s="14" t="str">
        <f>INDEX(orders!$F:$F,MATCH(A464,orders!$C:$C,0))</f>
        <v>Edin Mathe</v>
      </c>
      <c r="C464" s="15">
        <f>_xlfn.MAXIFS(orders!$B:$B,orders!$C:$C,A464)</f>
        <v>44747</v>
      </c>
      <c r="D464" s="14">
        <f t="shared" si="43"/>
        <v>46</v>
      </c>
      <c r="E464" s="14">
        <f>COUNTIFS(orders!$C:$C,A464)</f>
        <v>1</v>
      </c>
      <c r="F464" s="16">
        <f>SUMIFS(orders!$M:$M,orders!$C:$C,A464)</f>
        <v>51.749999999999993</v>
      </c>
      <c r="G464" s="14" t="str">
        <f>INDEX(orders!$P:$P,MATCH(A464,orders!$C:$C,0))</f>
        <v>Yes</v>
      </c>
      <c r="H464" s="17">
        <f t="shared" si="44"/>
        <v>5</v>
      </c>
      <c r="I464" s="14">
        <f t="shared" si="45"/>
        <v>1</v>
      </c>
      <c r="J464">
        <f t="shared" si="46"/>
        <v>4</v>
      </c>
      <c r="K464" s="14">
        <f t="shared" si="47"/>
        <v>10</v>
      </c>
      <c r="L464" t="str">
        <f t="shared" si="48"/>
        <v>Recent High-Value (One-Time)</v>
      </c>
    </row>
    <row r="465" spans="1:12" x14ac:dyDescent="0.3">
      <c r="A465" s="12" t="s">
        <v>4152</v>
      </c>
      <c r="B465" s="14" t="str">
        <f>INDEX(orders!$F:$F,MATCH(A465,orders!$C:$C,0))</f>
        <v>Tuckie Mathonnet</v>
      </c>
      <c r="C465" s="15">
        <f>_xlfn.MAXIFS(orders!$B:$B,orders!$C:$C,A465)</f>
        <v>44547</v>
      </c>
      <c r="D465" s="14">
        <f t="shared" si="43"/>
        <v>246</v>
      </c>
      <c r="E465" s="14">
        <f>COUNTIFS(orders!$C:$C,A465)</f>
        <v>2</v>
      </c>
      <c r="F465" s="16">
        <f>SUMIFS(orders!$M:$M,orders!$C:$C,A465)</f>
        <v>153.53499999999997</v>
      </c>
      <c r="G465" s="14" t="str">
        <f>INDEX(orders!$P:$P,MATCH(A465,orders!$C:$C,0))</f>
        <v>No</v>
      </c>
      <c r="H465" s="17">
        <f t="shared" si="44"/>
        <v>5</v>
      </c>
      <c r="I465" s="14">
        <f t="shared" si="45"/>
        <v>3</v>
      </c>
      <c r="J465">
        <f t="shared" si="46"/>
        <v>5</v>
      </c>
      <c r="K465" s="14">
        <f t="shared" si="47"/>
        <v>13</v>
      </c>
      <c r="L465" t="str">
        <f t="shared" si="48"/>
        <v>Loyal Repeat Customers</v>
      </c>
    </row>
    <row r="466" spans="1:12" x14ac:dyDescent="0.3">
      <c r="A466" s="12" t="s">
        <v>5031</v>
      </c>
      <c r="B466" s="14" t="str">
        <f>INDEX(orders!$F:$F,MATCH(A466,orders!$C:$C,0))</f>
        <v>Darn Penquet</v>
      </c>
      <c r="C466" s="15">
        <f>_xlfn.MAXIFS(orders!$B:$B,orders!$C:$C,A466)</f>
        <v>43955</v>
      </c>
      <c r="D466" s="14">
        <f t="shared" si="43"/>
        <v>838</v>
      </c>
      <c r="E466" s="14">
        <f>COUNTIFS(orders!$C:$C,A466)</f>
        <v>1</v>
      </c>
      <c r="F466" s="16">
        <f>SUMIFS(orders!$M:$M,orders!$C:$C,A466)</f>
        <v>126.49999999999999</v>
      </c>
      <c r="G466" s="14" t="str">
        <f>INDEX(orders!$P:$P,MATCH(A466,orders!$C:$C,0))</f>
        <v>No</v>
      </c>
      <c r="H466" s="17">
        <f t="shared" si="44"/>
        <v>2</v>
      </c>
      <c r="I466" s="14">
        <f t="shared" si="45"/>
        <v>1</v>
      </c>
      <c r="J466">
        <f t="shared" si="46"/>
        <v>5</v>
      </c>
      <c r="K466" s="14">
        <f t="shared" si="47"/>
        <v>8</v>
      </c>
      <c r="L466" t="str">
        <f t="shared" si="48"/>
        <v>Lapsed One-Time Buyers</v>
      </c>
    </row>
    <row r="467" spans="1:12" x14ac:dyDescent="0.3">
      <c r="A467" s="12" t="s">
        <v>4192</v>
      </c>
      <c r="B467" s="14" t="str">
        <f>INDEX(orders!$F:$F,MATCH(A467,orders!$C:$C,0))</f>
        <v>Maxim McParland</v>
      </c>
      <c r="C467" s="15">
        <f>_xlfn.MAXIFS(orders!$B:$B,orders!$C:$C,A467)</f>
        <v>43728</v>
      </c>
      <c r="D467" s="14">
        <f t="shared" si="43"/>
        <v>1065</v>
      </c>
      <c r="E467" s="14">
        <f>COUNTIFS(orders!$C:$C,A467)</f>
        <v>1</v>
      </c>
      <c r="F467" s="16">
        <f>SUMIFS(orders!$M:$M,orders!$C:$C,A467)</f>
        <v>45.769999999999996</v>
      </c>
      <c r="G467" s="14" t="str">
        <f>INDEX(orders!$P:$P,MATCH(A467,orders!$C:$C,0))</f>
        <v>Yes</v>
      </c>
      <c r="H467" s="17">
        <f t="shared" si="44"/>
        <v>1</v>
      </c>
      <c r="I467" s="14">
        <f t="shared" si="45"/>
        <v>1</v>
      </c>
      <c r="J467">
        <f t="shared" si="46"/>
        <v>4</v>
      </c>
      <c r="K467" s="14">
        <f t="shared" si="47"/>
        <v>6</v>
      </c>
      <c r="L467" t="str">
        <f t="shared" si="48"/>
        <v>Lapsed One-Time Buyers</v>
      </c>
    </row>
    <row r="468" spans="1:12" x14ac:dyDescent="0.3">
      <c r="A468" s="12" t="s">
        <v>5792</v>
      </c>
      <c r="B468" s="14" t="str">
        <f>INDEX(orders!$F:$F,MATCH(A468,orders!$C:$C,0))</f>
        <v>Dell Gut</v>
      </c>
      <c r="C468" s="15">
        <f>_xlfn.MAXIFS(orders!$B:$B,orders!$C:$C,A468)</f>
        <v>43829</v>
      </c>
      <c r="D468" s="14">
        <f t="shared" si="43"/>
        <v>964</v>
      </c>
      <c r="E468" s="14">
        <f>COUNTIFS(orders!$C:$C,A468)</f>
        <v>1</v>
      </c>
      <c r="F468" s="16">
        <f>SUMIFS(orders!$M:$M,orders!$C:$C,A468)</f>
        <v>74.25</v>
      </c>
      <c r="G468" s="14" t="str">
        <f>INDEX(orders!$P:$P,MATCH(A468,orders!$C:$C,0))</f>
        <v>Yes</v>
      </c>
      <c r="H468" s="17">
        <f t="shared" si="44"/>
        <v>2</v>
      </c>
      <c r="I468" s="14">
        <f t="shared" si="45"/>
        <v>1</v>
      </c>
      <c r="J468">
        <f t="shared" si="46"/>
        <v>4</v>
      </c>
      <c r="K468" s="14">
        <f t="shared" si="47"/>
        <v>7</v>
      </c>
      <c r="L468" t="str">
        <f t="shared" si="48"/>
        <v>Lapsed One-Time Buyers</v>
      </c>
    </row>
    <row r="469" spans="1:12" x14ac:dyDescent="0.3">
      <c r="A469" s="12" t="s">
        <v>4378</v>
      </c>
      <c r="B469" s="14" t="str">
        <f>INDEX(orders!$F:$F,MATCH(A469,orders!$C:$C,0))</f>
        <v>Kevan Grinsted</v>
      </c>
      <c r="C469" s="15">
        <f>_xlfn.MAXIFS(orders!$B:$B,orders!$C:$C,A469)</f>
        <v>43579</v>
      </c>
      <c r="D469" s="14">
        <f t="shared" si="43"/>
        <v>1214</v>
      </c>
      <c r="E469" s="14">
        <f>COUNTIFS(orders!$C:$C,A469)</f>
        <v>1</v>
      </c>
      <c r="F469" s="16">
        <f>SUMIFS(orders!$M:$M,orders!$C:$C,A469)</f>
        <v>64.75</v>
      </c>
      <c r="G469" s="14" t="str">
        <f>INDEX(orders!$P:$P,MATCH(A469,orders!$C:$C,0))</f>
        <v>No</v>
      </c>
      <c r="H469" s="17">
        <f t="shared" si="44"/>
        <v>1</v>
      </c>
      <c r="I469" s="14">
        <f t="shared" si="45"/>
        <v>1</v>
      </c>
      <c r="J469">
        <f t="shared" si="46"/>
        <v>4</v>
      </c>
      <c r="K469" s="14">
        <f t="shared" si="47"/>
        <v>6</v>
      </c>
      <c r="L469" t="str">
        <f t="shared" si="48"/>
        <v>Lapsed One-Time Buyers</v>
      </c>
    </row>
    <row r="470" spans="1:12" x14ac:dyDescent="0.3">
      <c r="A470" s="12" t="s">
        <v>2108</v>
      </c>
      <c r="B470" s="14" t="str">
        <f>INDEX(orders!$F:$F,MATCH(A470,orders!$C:$C,0))</f>
        <v>Byram Mergue</v>
      </c>
      <c r="C470" s="15">
        <f>_xlfn.MAXIFS(orders!$B:$B,orders!$C:$C,A470)</f>
        <v>43755</v>
      </c>
      <c r="D470" s="14">
        <f t="shared" si="43"/>
        <v>1038</v>
      </c>
      <c r="E470" s="14">
        <f>COUNTIFS(orders!$C:$C,A470)</f>
        <v>1</v>
      </c>
      <c r="F470" s="16">
        <f>SUMIFS(orders!$M:$M,orders!$C:$C,A470)</f>
        <v>13.5</v>
      </c>
      <c r="G470" s="14" t="str">
        <f>INDEX(orders!$P:$P,MATCH(A470,orders!$C:$C,0))</f>
        <v>Yes</v>
      </c>
      <c r="H470" s="17">
        <f t="shared" si="44"/>
        <v>2</v>
      </c>
      <c r="I470" s="14">
        <f t="shared" si="45"/>
        <v>1</v>
      </c>
      <c r="J470">
        <f t="shared" si="46"/>
        <v>1</v>
      </c>
      <c r="K470" s="14">
        <f t="shared" si="47"/>
        <v>4</v>
      </c>
      <c r="L470" t="str">
        <f t="shared" si="48"/>
        <v>Lapsed One-Time Buyers</v>
      </c>
    </row>
    <row r="471" spans="1:12" x14ac:dyDescent="0.3">
      <c r="A471" s="12" t="s">
        <v>2268</v>
      </c>
      <c r="B471" s="14" t="str">
        <f>INDEX(orders!$F:$F,MATCH(A471,orders!$C:$C,0))</f>
        <v>Melli Brockway</v>
      </c>
      <c r="C471" s="15">
        <f>_xlfn.MAXIFS(orders!$B:$B,orders!$C:$C,A471)</f>
        <v>43826</v>
      </c>
      <c r="D471" s="14">
        <f t="shared" si="43"/>
        <v>967</v>
      </c>
      <c r="E471" s="14">
        <f>COUNTIFS(orders!$C:$C,A471)</f>
        <v>1</v>
      </c>
      <c r="F471" s="16">
        <f>SUMIFS(orders!$M:$M,orders!$C:$C,A471)</f>
        <v>34.154999999999994</v>
      </c>
      <c r="G471" s="14" t="str">
        <f>INDEX(orders!$P:$P,MATCH(A471,orders!$C:$C,0))</f>
        <v>Yes</v>
      </c>
      <c r="H471" s="17">
        <f t="shared" si="44"/>
        <v>2</v>
      </c>
      <c r="I471" s="14">
        <f t="shared" si="45"/>
        <v>1</v>
      </c>
      <c r="J471">
        <f t="shared" si="46"/>
        <v>3</v>
      </c>
      <c r="K471" s="14">
        <f t="shared" si="47"/>
        <v>6</v>
      </c>
      <c r="L471" t="str">
        <f t="shared" si="48"/>
        <v>Lapsed One-Time Buyers</v>
      </c>
    </row>
    <row r="472" spans="1:12" x14ac:dyDescent="0.3">
      <c r="A472" s="12" t="s">
        <v>1981</v>
      </c>
      <c r="B472" s="14" t="str">
        <f>INDEX(orders!$F:$F,MATCH(A472,orders!$C:$C,0))</f>
        <v>Arabella Fransewich</v>
      </c>
      <c r="C472" s="15">
        <f>_xlfn.MAXIFS(orders!$B:$B,orders!$C:$C,A472)</f>
        <v>44683</v>
      </c>
      <c r="D472" s="14">
        <f t="shared" si="43"/>
        <v>110</v>
      </c>
      <c r="E472" s="14">
        <f>COUNTIFS(orders!$C:$C,A472)</f>
        <v>1</v>
      </c>
      <c r="F472" s="16">
        <f>SUMIFS(orders!$M:$M,orders!$C:$C,A472)</f>
        <v>59.75</v>
      </c>
      <c r="G472" s="14" t="str">
        <f>INDEX(orders!$P:$P,MATCH(A472,orders!$C:$C,0))</f>
        <v>Yes</v>
      </c>
      <c r="H472" s="17">
        <f t="shared" si="44"/>
        <v>5</v>
      </c>
      <c r="I472" s="14">
        <f t="shared" si="45"/>
        <v>1</v>
      </c>
      <c r="J472">
        <f t="shared" si="46"/>
        <v>4</v>
      </c>
      <c r="K472" s="14">
        <f t="shared" si="47"/>
        <v>10</v>
      </c>
      <c r="L472" t="str">
        <f t="shared" si="48"/>
        <v>Recent High-Value (One-Time)</v>
      </c>
    </row>
    <row r="473" spans="1:12" x14ac:dyDescent="0.3">
      <c r="A473" s="12" t="s">
        <v>4304</v>
      </c>
      <c r="B473" s="14" t="str">
        <f>INDEX(orders!$F:$F,MATCH(A473,orders!$C:$C,0))</f>
        <v>Terri Lyford</v>
      </c>
      <c r="C473" s="15">
        <f>_xlfn.MAXIFS(orders!$B:$B,orders!$C:$C,A473)</f>
        <v>44263</v>
      </c>
      <c r="D473" s="14">
        <f t="shared" si="43"/>
        <v>530</v>
      </c>
      <c r="E473" s="14">
        <f>COUNTIFS(orders!$C:$C,A473)</f>
        <v>1</v>
      </c>
      <c r="F473" s="16">
        <f>SUMIFS(orders!$M:$M,orders!$C:$C,A473)</f>
        <v>119.13999999999999</v>
      </c>
      <c r="G473" s="14" t="str">
        <f>INDEX(orders!$P:$P,MATCH(A473,orders!$C:$C,0))</f>
        <v>Yes</v>
      </c>
      <c r="H473" s="17">
        <f t="shared" si="44"/>
        <v>3</v>
      </c>
      <c r="I473" s="14">
        <f t="shared" si="45"/>
        <v>1</v>
      </c>
      <c r="J473">
        <f t="shared" si="46"/>
        <v>5</v>
      </c>
      <c r="K473" s="14">
        <f t="shared" si="47"/>
        <v>9</v>
      </c>
      <c r="L473" t="str">
        <f t="shared" si="48"/>
        <v>Standard One-Time Buyers</v>
      </c>
    </row>
    <row r="474" spans="1:12" x14ac:dyDescent="0.3">
      <c r="A474" s="12" t="s">
        <v>3409</v>
      </c>
      <c r="B474" s="14" t="str">
        <f>INDEX(orders!$F:$F,MATCH(A474,orders!$C:$C,0))</f>
        <v>Cindra Burling</v>
      </c>
      <c r="C474" s="15">
        <f>_xlfn.MAXIFS(orders!$B:$B,orders!$C:$C,A474)</f>
        <v>44723</v>
      </c>
      <c r="D474" s="14">
        <f t="shared" si="43"/>
        <v>70</v>
      </c>
      <c r="E474" s="14">
        <f>COUNTIFS(orders!$C:$C,A474)</f>
        <v>1</v>
      </c>
      <c r="F474" s="16">
        <f>SUMIFS(orders!$M:$M,orders!$C:$C,A474)</f>
        <v>102.92499999999998</v>
      </c>
      <c r="G474" s="14" t="str">
        <f>INDEX(orders!$P:$P,MATCH(A474,orders!$C:$C,0))</f>
        <v>Yes</v>
      </c>
      <c r="H474" s="17">
        <f t="shared" si="44"/>
        <v>5</v>
      </c>
      <c r="I474" s="14">
        <f t="shared" si="45"/>
        <v>1</v>
      </c>
      <c r="J474">
        <f t="shared" si="46"/>
        <v>5</v>
      </c>
      <c r="K474" s="14">
        <f t="shared" si="47"/>
        <v>11</v>
      </c>
      <c r="L474" t="str">
        <f t="shared" si="48"/>
        <v>Recent High-Value (One-Time)</v>
      </c>
    </row>
    <row r="475" spans="1:12" x14ac:dyDescent="0.3">
      <c r="A475" s="12" t="s">
        <v>2924</v>
      </c>
      <c r="B475" s="14" t="str">
        <f>INDEX(orders!$F:$F,MATCH(A475,orders!$C:$C,0))</f>
        <v>Rod Gowdie</v>
      </c>
      <c r="C475" s="15">
        <f>_xlfn.MAXIFS(orders!$B:$B,orders!$C:$C,A475)</f>
        <v>43808</v>
      </c>
      <c r="D475" s="14">
        <f t="shared" si="43"/>
        <v>985</v>
      </c>
      <c r="E475" s="14">
        <f>COUNTIFS(orders!$C:$C,A475)</f>
        <v>1</v>
      </c>
      <c r="F475" s="16">
        <f>SUMIFS(orders!$M:$M,orders!$C:$C,A475)</f>
        <v>22.5</v>
      </c>
      <c r="G475" s="14" t="str">
        <f>INDEX(orders!$P:$P,MATCH(A475,orders!$C:$C,0))</f>
        <v>No</v>
      </c>
      <c r="H475" s="17">
        <f t="shared" si="44"/>
        <v>2</v>
      </c>
      <c r="I475" s="14">
        <f t="shared" si="45"/>
        <v>1</v>
      </c>
      <c r="J475">
        <f t="shared" si="46"/>
        <v>2</v>
      </c>
      <c r="K475" s="14">
        <f t="shared" si="47"/>
        <v>5</v>
      </c>
      <c r="L475" t="str">
        <f t="shared" si="48"/>
        <v>Lapsed One-Time Buyers</v>
      </c>
    </row>
    <row r="476" spans="1:12" x14ac:dyDescent="0.3">
      <c r="A476" s="12" t="s">
        <v>3470</v>
      </c>
      <c r="B476" s="14" t="str">
        <f>INDEX(orders!$F:$F,MATCH(A476,orders!$C:$C,0))</f>
        <v>Irvine Phillpot</v>
      </c>
      <c r="C476" s="15">
        <f>_xlfn.MAXIFS(orders!$B:$B,orders!$C:$C,A476)</f>
        <v>43517</v>
      </c>
      <c r="D476" s="14">
        <f t="shared" si="43"/>
        <v>1276</v>
      </c>
      <c r="E476" s="14">
        <f>COUNTIFS(orders!$C:$C,A476)</f>
        <v>1</v>
      </c>
      <c r="F476" s="16">
        <f>SUMIFS(orders!$M:$M,orders!$C:$C,A476)</f>
        <v>41.25</v>
      </c>
      <c r="G476" s="14" t="str">
        <f>INDEX(orders!$P:$P,MATCH(A476,orders!$C:$C,0))</f>
        <v>No</v>
      </c>
      <c r="H476" s="17">
        <f t="shared" si="44"/>
        <v>1</v>
      </c>
      <c r="I476" s="14">
        <f t="shared" si="45"/>
        <v>1</v>
      </c>
      <c r="J476">
        <f t="shared" si="46"/>
        <v>3</v>
      </c>
      <c r="K476" s="14">
        <f t="shared" si="47"/>
        <v>5</v>
      </c>
      <c r="L476" t="str">
        <f t="shared" si="48"/>
        <v>Lapsed One-Time Buyers</v>
      </c>
    </row>
    <row r="477" spans="1:12" x14ac:dyDescent="0.3">
      <c r="A477" s="12" t="s">
        <v>5758</v>
      </c>
      <c r="B477" s="14" t="str">
        <f>INDEX(orders!$F:$F,MATCH(A477,orders!$C:$C,0))</f>
        <v>Barnett Sillis</v>
      </c>
      <c r="C477" s="15">
        <f>_xlfn.MAXIFS(orders!$B:$B,orders!$C:$C,A477)</f>
        <v>44117</v>
      </c>
      <c r="D477" s="14">
        <f t="shared" si="43"/>
        <v>676</v>
      </c>
      <c r="E477" s="14">
        <f>COUNTIFS(orders!$C:$C,A477)</f>
        <v>1</v>
      </c>
      <c r="F477" s="16">
        <f>SUMIFS(orders!$M:$M,orders!$C:$C,A477)</f>
        <v>55</v>
      </c>
      <c r="G477" s="14" t="str">
        <f>INDEX(orders!$P:$P,MATCH(A477,orders!$C:$C,0))</f>
        <v>No</v>
      </c>
      <c r="H477" s="17">
        <f t="shared" si="44"/>
        <v>3</v>
      </c>
      <c r="I477" s="14">
        <f t="shared" si="45"/>
        <v>1</v>
      </c>
      <c r="J477">
        <f t="shared" si="46"/>
        <v>4</v>
      </c>
      <c r="K477" s="14">
        <f t="shared" si="47"/>
        <v>8</v>
      </c>
      <c r="L477" t="str">
        <f t="shared" si="48"/>
        <v>Standard One-Time Buyers</v>
      </c>
    </row>
    <row r="478" spans="1:12" x14ac:dyDescent="0.3">
      <c r="A478" s="12" t="s">
        <v>1993</v>
      </c>
      <c r="B478" s="14" t="str">
        <f>INDEX(orders!$F:$F,MATCH(A478,orders!$C:$C,0))</f>
        <v>Myles Seawright</v>
      </c>
      <c r="C478" s="15">
        <f>_xlfn.MAXIFS(orders!$B:$B,orders!$C:$C,A478)</f>
        <v>44283</v>
      </c>
      <c r="D478" s="14">
        <f t="shared" si="43"/>
        <v>510</v>
      </c>
      <c r="E478" s="14">
        <f>COUNTIFS(orders!$C:$C,A478)</f>
        <v>1</v>
      </c>
      <c r="F478" s="16">
        <f>SUMIFS(orders!$M:$M,orders!$C:$C,A478)</f>
        <v>24.3</v>
      </c>
      <c r="G478" s="14" t="str">
        <f>INDEX(orders!$P:$P,MATCH(A478,orders!$C:$C,0))</f>
        <v>No</v>
      </c>
      <c r="H478" s="17">
        <f t="shared" si="44"/>
        <v>3</v>
      </c>
      <c r="I478" s="14">
        <f t="shared" si="45"/>
        <v>1</v>
      </c>
      <c r="J478">
        <f t="shared" si="46"/>
        <v>2</v>
      </c>
      <c r="K478" s="14">
        <f t="shared" si="47"/>
        <v>6</v>
      </c>
      <c r="L478" t="str">
        <f t="shared" si="48"/>
        <v>Standard One-Time Buyers</v>
      </c>
    </row>
    <row r="479" spans="1:12" x14ac:dyDescent="0.3">
      <c r="A479" s="12" t="s">
        <v>5130</v>
      </c>
      <c r="B479" s="14" t="str">
        <f>INDEX(orders!$F:$F,MATCH(A479,orders!$C:$C,0))</f>
        <v>Ericka Tripp</v>
      </c>
      <c r="C479" s="15">
        <f>_xlfn.MAXIFS(orders!$B:$B,orders!$C:$C,A479)</f>
        <v>44144</v>
      </c>
      <c r="D479" s="14">
        <f t="shared" si="43"/>
        <v>649</v>
      </c>
      <c r="E479" s="14">
        <f>COUNTIFS(orders!$C:$C,A479)</f>
        <v>1</v>
      </c>
      <c r="F479" s="16">
        <f>SUMIFS(orders!$M:$M,orders!$C:$C,A479)</f>
        <v>26.849999999999994</v>
      </c>
      <c r="G479" s="14" t="str">
        <f>INDEX(orders!$P:$P,MATCH(A479,orders!$C:$C,0))</f>
        <v>No</v>
      </c>
      <c r="H479" s="17">
        <f t="shared" si="44"/>
        <v>3</v>
      </c>
      <c r="I479" s="14">
        <f t="shared" si="45"/>
        <v>1</v>
      </c>
      <c r="J479">
        <f t="shared" si="46"/>
        <v>3</v>
      </c>
      <c r="K479" s="14">
        <f t="shared" si="47"/>
        <v>7</v>
      </c>
      <c r="L479" t="str">
        <f t="shared" si="48"/>
        <v>Standard One-Time Buyers</v>
      </c>
    </row>
    <row r="480" spans="1:12" x14ac:dyDescent="0.3">
      <c r="A480" s="12" t="s">
        <v>2075</v>
      </c>
      <c r="B480" s="14" t="str">
        <f>INDEX(orders!$F:$F,MATCH(A480,orders!$C:$C,0))</f>
        <v>Christopher Grieveson</v>
      </c>
      <c r="C480" s="15">
        <f>_xlfn.MAXIFS(orders!$B:$B,orders!$C:$C,A480)</f>
        <v>44234</v>
      </c>
      <c r="D480" s="14">
        <f t="shared" si="43"/>
        <v>559</v>
      </c>
      <c r="E480" s="14">
        <f>COUNTIFS(orders!$C:$C,A480)</f>
        <v>1</v>
      </c>
      <c r="F480" s="16">
        <f>SUMIFS(orders!$M:$M,orders!$C:$C,A480)</f>
        <v>41.25</v>
      </c>
      <c r="G480" s="14" t="str">
        <f>INDEX(orders!$P:$P,MATCH(A480,orders!$C:$C,0))</f>
        <v>Yes</v>
      </c>
      <c r="H480" s="17">
        <f t="shared" si="44"/>
        <v>3</v>
      </c>
      <c r="I480" s="14">
        <f t="shared" si="45"/>
        <v>1</v>
      </c>
      <c r="J480">
        <f t="shared" si="46"/>
        <v>3</v>
      </c>
      <c r="K480" s="14">
        <f t="shared" si="47"/>
        <v>7</v>
      </c>
      <c r="L480" t="str">
        <f t="shared" si="48"/>
        <v>Standard One-Time Buyers</v>
      </c>
    </row>
    <row r="481" spans="1:12" x14ac:dyDescent="0.3">
      <c r="A481" s="12" t="s">
        <v>3861</v>
      </c>
      <c r="B481" s="14" t="str">
        <f>INDEX(orders!$F:$F,MATCH(A481,orders!$C:$C,0))</f>
        <v>Bo Kindley</v>
      </c>
      <c r="C481" s="15">
        <f>_xlfn.MAXIFS(orders!$B:$B,orders!$C:$C,A481)</f>
        <v>44532</v>
      </c>
      <c r="D481" s="14">
        <f t="shared" si="43"/>
        <v>261</v>
      </c>
      <c r="E481" s="14">
        <f>COUNTIFS(orders!$C:$C,A481)</f>
        <v>1</v>
      </c>
      <c r="F481" s="16">
        <f>SUMIFS(orders!$M:$M,orders!$C:$C,A481)</f>
        <v>145.82</v>
      </c>
      <c r="G481" s="14" t="str">
        <f>INDEX(orders!$P:$P,MATCH(A481,orders!$C:$C,0))</f>
        <v>Yes</v>
      </c>
      <c r="H481" s="17">
        <f t="shared" si="44"/>
        <v>5</v>
      </c>
      <c r="I481" s="14">
        <f t="shared" si="45"/>
        <v>1</v>
      </c>
      <c r="J481">
        <f t="shared" si="46"/>
        <v>5</v>
      </c>
      <c r="K481" s="14">
        <f t="shared" si="47"/>
        <v>11</v>
      </c>
      <c r="L481" t="str">
        <f t="shared" si="48"/>
        <v>Recent High-Value (One-Time)</v>
      </c>
    </row>
    <row r="482" spans="1:12" x14ac:dyDescent="0.3">
      <c r="A482" s="12" t="s">
        <v>2830</v>
      </c>
      <c r="B482" s="14" t="str">
        <f>INDEX(orders!$F:$F,MATCH(A482,orders!$C:$C,0))</f>
        <v>Gregg Hawkyens</v>
      </c>
      <c r="C482" s="15">
        <f>_xlfn.MAXIFS(orders!$B:$B,orders!$C:$C,A482)</f>
        <v>43683</v>
      </c>
      <c r="D482" s="14">
        <f t="shared" si="43"/>
        <v>1110</v>
      </c>
      <c r="E482" s="14">
        <f>COUNTIFS(orders!$C:$C,A482)</f>
        <v>1</v>
      </c>
      <c r="F482" s="16">
        <f>SUMIFS(orders!$M:$M,orders!$C:$C,A482)</f>
        <v>8.9550000000000001</v>
      </c>
      <c r="G482" s="14" t="str">
        <f>INDEX(orders!$P:$P,MATCH(A482,orders!$C:$C,0))</f>
        <v>No</v>
      </c>
      <c r="H482" s="17">
        <f t="shared" si="44"/>
        <v>1</v>
      </c>
      <c r="I482" s="14">
        <f t="shared" si="45"/>
        <v>1</v>
      </c>
      <c r="J482">
        <f t="shared" si="46"/>
        <v>1</v>
      </c>
      <c r="K482" s="14">
        <f t="shared" si="47"/>
        <v>3</v>
      </c>
      <c r="L482" t="str">
        <f t="shared" si="48"/>
        <v>Lapsed One-Time Buyers</v>
      </c>
    </row>
    <row r="483" spans="1:12" x14ac:dyDescent="0.3">
      <c r="A483" s="12" t="s">
        <v>5142</v>
      </c>
      <c r="B483" s="14" t="str">
        <f>INDEX(orders!$F:$F,MATCH(A483,orders!$C:$C,0))</f>
        <v>Tess Benediktovich</v>
      </c>
      <c r="C483" s="15">
        <f>_xlfn.MAXIFS(orders!$B:$B,orders!$C:$C,A483)</f>
        <v>44134</v>
      </c>
      <c r="D483" s="14">
        <f t="shared" si="43"/>
        <v>659</v>
      </c>
      <c r="E483" s="14">
        <f>COUNTIFS(orders!$C:$C,A483)</f>
        <v>1</v>
      </c>
      <c r="F483" s="16">
        <f>SUMIFS(orders!$M:$M,orders!$C:$C,A483)</f>
        <v>47.55</v>
      </c>
      <c r="G483" s="14" t="str">
        <f>INDEX(orders!$P:$P,MATCH(A483,orders!$C:$C,0))</f>
        <v>Yes</v>
      </c>
      <c r="H483" s="17">
        <f t="shared" si="44"/>
        <v>3</v>
      </c>
      <c r="I483" s="14">
        <f t="shared" si="45"/>
        <v>1</v>
      </c>
      <c r="J483">
        <f t="shared" si="46"/>
        <v>4</v>
      </c>
      <c r="K483" s="14">
        <f t="shared" si="47"/>
        <v>8</v>
      </c>
      <c r="L483" t="str">
        <f t="shared" si="48"/>
        <v>Standard One-Time Buyers</v>
      </c>
    </row>
    <row r="484" spans="1:12" x14ac:dyDescent="0.3">
      <c r="A484" s="12" t="s">
        <v>5392</v>
      </c>
      <c r="B484" s="14" t="str">
        <f>INDEX(orders!$F:$F,MATCH(A484,orders!$C:$C,0))</f>
        <v>Bee Fattorini</v>
      </c>
      <c r="C484" s="15">
        <f>_xlfn.MAXIFS(orders!$B:$B,orders!$C:$C,A484)</f>
        <v>44792</v>
      </c>
      <c r="D484" s="14">
        <f t="shared" si="43"/>
        <v>1</v>
      </c>
      <c r="E484" s="14">
        <f>COUNTIFS(orders!$C:$C,A484)</f>
        <v>1</v>
      </c>
      <c r="F484" s="16">
        <f>SUMIFS(orders!$M:$M,orders!$C:$C,A484)</f>
        <v>29.784999999999997</v>
      </c>
      <c r="G484" s="14" t="str">
        <f>INDEX(orders!$P:$P,MATCH(A484,orders!$C:$C,0))</f>
        <v>Yes</v>
      </c>
      <c r="H484" s="17">
        <f t="shared" si="44"/>
        <v>5</v>
      </c>
      <c r="I484" s="14">
        <f t="shared" si="45"/>
        <v>1</v>
      </c>
      <c r="J484">
        <f t="shared" si="46"/>
        <v>3</v>
      </c>
      <c r="K484" s="14">
        <f t="shared" si="47"/>
        <v>9</v>
      </c>
      <c r="L484" t="str">
        <f t="shared" si="48"/>
        <v>Standard One-Time Buyers</v>
      </c>
    </row>
    <row r="485" spans="1:12" x14ac:dyDescent="0.3">
      <c r="A485" s="12" t="s">
        <v>3819</v>
      </c>
      <c r="B485" s="14" t="str">
        <f>INDEX(orders!$F:$F,MATCH(A485,orders!$C:$C,0))</f>
        <v>Daniel Heinonen</v>
      </c>
      <c r="C485" s="15">
        <f>_xlfn.MAXIFS(orders!$B:$B,orders!$C:$C,A485)</f>
        <v>43671</v>
      </c>
      <c r="D485" s="14">
        <f t="shared" si="43"/>
        <v>1122</v>
      </c>
      <c r="E485" s="14">
        <f>COUNTIFS(orders!$C:$C,A485)</f>
        <v>1</v>
      </c>
      <c r="F485" s="16">
        <f>SUMIFS(orders!$M:$M,orders!$C:$C,A485)</f>
        <v>204.92999999999995</v>
      </c>
      <c r="G485" s="14" t="str">
        <f>INDEX(orders!$P:$P,MATCH(A485,orders!$C:$C,0))</f>
        <v>No</v>
      </c>
      <c r="H485" s="17">
        <f t="shared" si="44"/>
        <v>1</v>
      </c>
      <c r="I485" s="14">
        <f t="shared" si="45"/>
        <v>1</v>
      </c>
      <c r="J485">
        <f t="shared" si="46"/>
        <v>5</v>
      </c>
      <c r="K485" s="14">
        <f t="shared" si="47"/>
        <v>7</v>
      </c>
      <c r="L485" t="str">
        <f t="shared" si="48"/>
        <v>Lapsed One-Time Buyers</v>
      </c>
    </row>
    <row r="486" spans="1:12" x14ac:dyDescent="0.3">
      <c r="A486" s="12" t="s">
        <v>2286</v>
      </c>
      <c r="B486" s="14" t="str">
        <f>INDEX(orders!$F:$F,MATCH(A486,orders!$C:$C,0))</f>
        <v>Tess Bennison</v>
      </c>
      <c r="C486" s="15">
        <f>_xlfn.MAXIFS(orders!$B:$B,orders!$C:$C,A486)</f>
        <v>44563</v>
      </c>
      <c r="D486" s="14">
        <f t="shared" si="43"/>
        <v>230</v>
      </c>
      <c r="E486" s="14">
        <f>COUNTIFS(orders!$C:$C,A486)</f>
        <v>1</v>
      </c>
      <c r="F486" s="16">
        <f>SUMIFS(orders!$M:$M,orders!$C:$C,A486)</f>
        <v>51.749999999999993</v>
      </c>
      <c r="G486" s="14" t="str">
        <f>INDEX(orders!$P:$P,MATCH(A486,orders!$C:$C,0))</f>
        <v>Yes</v>
      </c>
      <c r="H486" s="17">
        <f t="shared" si="44"/>
        <v>5</v>
      </c>
      <c r="I486" s="14">
        <f t="shared" si="45"/>
        <v>1</v>
      </c>
      <c r="J486">
        <f t="shared" si="46"/>
        <v>4</v>
      </c>
      <c r="K486" s="14">
        <f t="shared" si="47"/>
        <v>10</v>
      </c>
      <c r="L486" t="str">
        <f t="shared" si="48"/>
        <v>Recent High-Value (One-Time)</v>
      </c>
    </row>
    <row r="487" spans="1:12" x14ac:dyDescent="0.3">
      <c r="A487" s="12" t="s">
        <v>1666</v>
      </c>
      <c r="B487" s="14" t="str">
        <f>INDEX(orders!$F:$F,MATCH(A487,orders!$C:$C,0))</f>
        <v>Fransisco Malecky</v>
      </c>
      <c r="C487" s="15">
        <f>_xlfn.MAXIFS(orders!$B:$B,orders!$C:$C,A487)</f>
        <v>44105</v>
      </c>
      <c r="D487" s="14">
        <f t="shared" si="43"/>
        <v>688</v>
      </c>
      <c r="E487" s="14">
        <f>COUNTIFS(orders!$C:$C,A487)</f>
        <v>1</v>
      </c>
      <c r="F487" s="16">
        <f>SUMIFS(orders!$M:$M,orders!$C:$C,A487)</f>
        <v>6.75</v>
      </c>
      <c r="G487" s="14" t="str">
        <f>INDEX(orders!$P:$P,MATCH(A487,orders!$C:$C,0))</f>
        <v>No</v>
      </c>
      <c r="H487" s="17">
        <f t="shared" si="44"/>
        <v>3</v>
      </c>
      <c r="I487" s="14">
        <f t="shared" si="45"/>
        <v>1</v>
      </c>
      <c r="J487">
        <f t="shared" si="46"/>
        <v>1</v>
      </c>
      <c r="K487" s="14">
        <f t="shared" si="47"/>
        <v>5</v>
      </c>
      <c r="L487" t="str">
        <f t="shared" si="48"/>
        <v>Standard One-Time Buyers</v>
      </c>
    </row>
    <row r="488" spans="1:12" x14ac:dyDescent="0.3">
      <c r="A488" s="12" t="s">
        <v>4712</v>
      </c>
      <c r="B488" s="14" t="str">
        <f>INDEX(orders!$F:$F,MATCH(A488,orders!$C:$C,0))</f>
        <v>Teddi Quadri</v>
      </c>
      <c r="C488" s="15">
        <f>_xlfn.MAXIFS(orders!$B:$B,orders!$C:$C,A488)</f>
        <v>43501</v>
      </c>
      <c r="D488" s="14">
        <f t="shared" si="43"/>
        <v>1292</v>
      </c>
      <c r="E488" s="14">
        <f>COUNTIFS(orders!$C:$C,A488)</f>
        <v>1</v>
      </c>
      <c r="F488" s="16">
        <f>SUMIFS(orders!$M:$M,orders!$C:$C,A488)</f>
        <v>34.92</v>
      </c>
      <c r="G488" s="14" t="str">
        <f>INDEX(orders!$P:$P,MATCH(A488,orders!$C:$C,0))</f>
        <v>Yes</v>
      </c>
      <c r="H488" s="17">
        <f t="shared" si="44"/>
        <v>1</v>
      </c>
      <c r="I488" s="14">
        <f t="shared" si="45"/>
        <v>1</v>
      </c>
      <c r="J488">
        <f t="shared" si="46"/>
        <v>3</v>
      </c>
      <c r="K488" s="14">
        <f t="shared" si="47"/>
        <v>5</v>
      </c>
      <c r="L488" t="str">
        <f t="shared" si="48"/>
        <v>Lapsed One-Time Buyers</v>
      </c>
    </row>
    <row r="489" spans="1:12" x14ac:dyDescent="0.3">
      <c r="A489" s="12" t="s">
        <v>3284</v>
      </c>
      <c r="B489" s="14" t="str">
        <f>INDEX(orders!$F:$F,MATCH(A489,orders!$C:$C,0))</f>
        <v>Felicia Jecock</v>
      </c>
      <c r="C489" s="15">
        <f>_xlfn.MAXIFS(orders!$B:$B,orders!$C:$C,A489)</f>
        <v>44132</v>
      </c>
      <c r="D489" s="14">
        <f t="shared" si="43"/>
        <v>661</v>
      </c>
      <c r="E489" s="14">
        <f>COUNTIFS(orders!$C:$C,A489)</f>
        <v>1</v>
      </c>
      <c r="F489" s="16">
        <f>SUMIFS(orders!$M:$M,orders!$C:$C,A489)</f>
        <v>31.7</v>
      </c>
      <c r="G489" s="14" t="str">
        <f>INDEX(orders!$P:$P,MATCH(A489,orders!$C:$C,0))</f>
        <v>No</v>
      </c>
      <c r="H489" s="17">
        <f t="shared" si="44"/>
        <v>3</v>
      </c>
      <c r="I489" s="14">
        <f t="shared" si="45"/>
        <v>1</v>
      </c>
      <c r="J489">
        <f t="shared" si="46"/>
        <v>3</v>
      </c>
      <c r="K489" s="14">
        <f t="shared" si="47"/>
        <v>7</v>
      </c>
      <c r="L489" t="str">
        <f t="shared" si="48"/>
        <v>Standard One-Time Buyers</v>
      </c>
    </row>
    <row r="490" spans="1:12" x14ac:dyDescent="0.3">
      <c r="A490" s="12" t="s">
        <v>745</v>
      </c>
      <c r="B490" s="14" t="str">
        <f>INDEX(orders!$F:$F,MATCH(A490,orders!$C:$C,0))</f>
        <v>Petey Kingsbury</v>
      </c>
      <c r="C490" s="15">
        <f>_xlfn.MAXIFS(orders!$B:$B,orders!$C:$C,A490)</f>
        <v>44592</v>
      </c>
      <c r="D490" s="14">
        <f t="shared" si="43"/>
        <v>201</v>
      </c>
      <c r="E490" s="14">
        <f>COUNTIFS(orders!$C:$C,A490)</f>
        <v>1</v>
      </c>
      <c r="F490" s="16">
        <f>SUMIFS(orders!$M:$M,orders!$C:$C,A490)</f>
        <v>178.70999999999998</v>
      </c>
      <c r="G490" s="14" t="str">
        <f>INDEX(orders!$P:$P,MATCH(A490,orders!$C:$C,0))</f>
        <v>No</v>
      </c>
      <c r="H490" s="17">
        <f t="shared" si="44"/>
        <v>5</v>
      </c>
      <c r="I490" s="14">
        <f t="shared" si="45"/>
        <v>1</v>
      </c>
      <c r="J490">
        <f t="shared" si="46"/>
        <v>5</v>
      </c>
      <c r="K490" s="14">
        <f t="shared" si="47"/>
        <v>11</v>
      </c>
      <c r="L490" t="str">
        <f t="shared" si="48"/>
        <v>Recent High-Value (One-Time)</v>
      </c>
    </row>
    <row r="491" spans="1:12" x14ac:dyDescent="0.3">
      <c r="A491" s="12" t="s">
        <v>5496</v>
      </c>
      <c r="B491" s="14" t="str">
        <f>INDEX(orders!$F:$F,MATCH(A491,orders!$C:$C,0))</f>
        <v>Helli Petroulis</v>
      </c>
      <c r="C491" s="15">
        <f>_xlfn.MAXIFS(orders!$B:$B,orders!$C:$C,A491)</f>
        <v>43664</v>
      </c>
      <c r="D491" s="14">
        <f t="shared" si="43"/>
        <v>1129</v>
      </c>
      <c r="E491" s="14">
        <f>COUNTIFS(orders!$C:$C,A491)</f>
        <v>1</v>
      </c>
      <c r="F491" s="16">
        <f>SUMIFS(orders!$M:$M,orders!$C:$C,A491)</f>
        <v>123.50999999999999</v>
      </c>
      <c r="G491" s="14" t="str">
        <f>INDEX(orders!$P:$P,MATCH(A491,orders!$C:$C,0))</f>
        <v>No</v>
      </c>
      <c r="H491" s="17">
        <f t="shared" si="44"/>
        <v>1</v>
      </c>
      <c r="I491" s="14">
        <f t="shared" si="45"/>
        <v>1</v>
      </c>
      <c r="J491">
        <f t="shared" si="46"/>
        <v>5</v>
      </c>
      <c r="K491" s="14">
        <f t="shared" si="47"/>
        <v>7</v>
      </c>
      <c r="L491" t="str">
        <f t="shared" si="48"/>
        <v>Lapsed One-Time Buyers</v>
      </c>
    </row>
    <row r="492" spans="1:12" x14ac:dyDescent="0.3">
      <c r="A492" s="12" t="s">
        <v>5188</v>
      </c>
      <c r="B492" s="14" t="str">
        <f>INDEX(orders!$F:$F,MATCH(A492,orders!$C:$C,0))</f>
        <v>Odelia Skerme</v>
      </c>
      <c r="C492" s="15">
        <f>_xlfn.MAXIFS(orders!$B:$B,orders!$C:$C,A492)</f>
        <v>44603</v>
      </c>
      <c r="D492" s="14">
        <f t="shared" si="43"/>
        <v>190</v>
      </c>
      <c r="E492" s="14">
        <f>COUNTIFS(orders!$C:$C,A492)</f>
        <v>3</v>
      </c>
      <c r="F492" s="16">
        <f>SUMIFS(orders!$M:$M,orders!$C:$C,A492)</f>
        <v>46.83</v>
      </c>
      <c r="G492" s="14" t="str">
        <f>INDEX(orders!$P:$P,MATCH(A492,orders!$C:$C,0))</f>
        <v>Yes</v>
      </c>
      <c r="H492" s="17">
        <f t="shared" si="44"/>
        <v>5</v>
      </c>
      <c r="I492" s="14">
        <f t="shared" si="45"/>
        <v>5</v>
      </c>
      <c r="J492">
        <f t="shared" si="46"/>
        <v>4</v>
      </c>
      <c r="K492" s="14">
        <f t="shared" si="47"/>
        <v>14</v>
      </c>
      <c r="L492" t="str">
        <f t="shared" si="48"/>
        <v>Loyal Repeat Customers</v>
      </c>
    </row>
    <row r="493" spans="1:12" x14ac:dyDescent="0.3">
      <c r="A493" s="12" t="s">
        <v>937</v>
      </c>
      <c r="B493" s="14" t="str">
        <f>INDEX(orders!$F:$F,MATCH(A493,orders!$C:$C,0))</f>
        <v>Cletis Giacomazzo</v>
      </c>
      <c r="C493" s="15">
        <f>_xlfn.MAXIFS(orders!$B:$B,orders!$C:$C,A493)</f>
        <v>44633</v>
      </c>
      <c r="D493" s="14">
        <f t="shared" si="43"/>
        <v>160</v>
      </c>
      <c r="E493" s="14">
        <f>COUNTIFS(orders!$C:$C,A493)</f>
        <v>1</v>
      </c>
      <c r="F493" s="16">
        <f>SUMIFS(orders!$M:$M,orders!$C:$C,A493)</f>
        <v>47.8</v>
      </c>
      <c r="G493" s="14" t="str">
        <f>INDEX(orders!$P:$P,MATCH(A493,orders!$C:$C,0))</f>
        <v>No</v>
      </c>
      <c r="H493" s="17">
        <f t="shared" si="44"/>
        <v>5</v>
      </c>
      <c r="I493" s="14">
        <f t="shared" si="45"/>
        <v>1</v>
      </c>
      <c r="J493">
        <f t="shared" si="46"/>
        <v>4</v>
      </c>
      <c r="K493" s="14">
        <f t="shared" si="47"/>
        <v>10</v>
      </c>
      <c r="L493" t="str">
        <f t="shared" si="48"/>
        <v>Recent High-Value (One-Time)</v>
      </c>
    </row>
    <row r="494" spans="1:12" x14ac:dyDescent="0.3">
      <c r="A494" s="12" t="s">
        <v>1205</v>
      </c>
      <c r="B494" s="14" t="str">
        <f>INDEX(orders!$F:$F,MATCH(A494,orders!$C:$C,0))</f>
        <v>Raleigh Lepere</v>
      </c>
      <c r="C494" s="15">
        <f>_xlfn.MAXIFS(orders!$B:$B,orders!$C:$C,A494)</f>
        <v>44510</v>
      </c>
      <c r="D494" s="14">
        <f t="shared" si="43"/>
        <v>283</v>
      </c>
      <c r="E494" s="14">
        <f>COUNTIFS(orders!$C:$C,A494)</f>
        <v>1</v>
      </c>
      <c r="F494" s="16">
        <f>SUMIFS(orders!$M:$M,orders!$C:$C,A494)</f>
        <v>77.699999999999989</v>
      </c>
      <c r="G494" s="14" t="str">
        <f>INDEX(orders!$P:$P,MATCH(A494,orders!$C:$C,0))</f>
        <v>No</v>
      </c>
      <c r="H494" s="17">
        <f t="shared" si="44"/>
        <v>4</v>
      </c>
      <c r="I494" s="14">
        <f t="shared" si="45"/>
        <v>1</v>
      </c>
      <c r="J494">
        <f t="shared" si="46"/>
        <v>4</v>
      </c>
      <c r="K494" s="14">
        <f t="shared" si="47"/>
        <v>9</v>
      </c>
      <c r="L494" t="str">
        <f t="shared" si="48"/>
        <v>Recent High-Value (One-Time)</v>
      </c>
    </row>
    <row r="495" spans="1:12" x14ac:dyDescent="0.3">
      <c r="A495" s="12" t="s">
        <v>1521</v>
      </c>
      <c r="B495" s="14" t="str">
        <f>INDEX(orders!$F:$F,MATCH(A495,orders!$C:$C,0))</f>
        <v>Tory Walas</v>
      </c>
      <c r="C495" s="15">
        <f>_xlfn.MAXIFS(orders!$B:$B,orders!$C:$C,A495)</f>
        <v>44512</v>
      </c>
      <c r="D495" s="14">
        <f t="shared" si="43"/>
        <v>281</v>
      </c>
      <c r="E495" s="14">
        <f>COUNTIFS(orders!$C:$C,A495)</f>
        <v>1</v>
      </c>
      <c r="F495" s="16">
        <f>SUMIFS(orders!$M:$M,orders!$C:$C,A495)</f>
        <v>8.25</v>
      </c>
      <c r="G495" s="14" t="str">
        <f>INDEX(orders!$P:$P,MATCH(A495,orders!$C:$C,0))</f>
        <v>No</v>
      </c>
      <c r="H495" s="17">
        <f t="shared" si="44"/>
        <v>4</v>
      </c>
      <c r="I495" s="14">
        <f t="shared" si="45"/>
        <v>1</v>
      </c>
      <c r="J495">
        <f t="shared" si="46"/>
        <v>1</v>
      </c>
      <c r="K495" s="14">
        <f t="shared" si="47"/>
        <v>6</v>
      </c>
      <c r="L495" t="str">
        <f t="shared" si="48"/>
        <v>Standard One-Time Buyers</v>
      </c>
    </row>
    <row r="496" spans="1:12" x14ac:dyDescent="0.3">
      <c r="A496" s="12" t="s">
        <v>2889</v>
      </c>
      <c r="B496" s="14" t="str">
        <f>INDEX(orders!$F:$F,MATCH(A496,orders!$C:$C,0))</f>
        <v>Manuel Darrigoe</v>
      </c>
      <c r="C496" s="15">
        <f>_xlfn.MAXIFS(orders!$B:$B,orders!$C:$C,A496)</f>
        <v>43556</v>
      </c>
      <c r="D496" s="14">
        <f t="shared" si="43"/>
        <v>1237</v>
      </c>
      <c r="E496" s="14">
        <f>COUNTIFS(orders!$C:$C,A496)</f>
        <v>1</v>
      </c>
      <c r="F496" s="16">
        <f>SUMIFS(orders!$M:$M,orders!$C:$C,A496)</f>
        <v>14.339999999999998</v>
      </c>
      <c r="G496" s="14" t="str">
        <f>INDEX(orders!$P:$P,MATCH(A496,orders!$C:$C,0))</f>
        <v>Yes</v>
      </c>
      <c r="H496" s="17">
        <f t="shared" si="44"/>
        <v>1</v>
      </c>
      <c r="I496" s="14">
        <f t="shared" si="45"/>
        <v>1</v>
      </c>
      <c r="J496">
        <f t="shared" si="46"/>
        <v>2</v>
      </c>
      <c r="K496" s="14">
        <f t="shared" si="47"/>
        <v>4</v>
      </c>
      <c r="L496" t="str">
        <f t="shared" si="48"/>
        <v>Lapsed One-Time Buyers</v>
      </c>
    </row>
    <row r="497" spans="1:12" x14ac:dyDescent="0.3">
      <c r="A497" s="12" t="s">
        <v>4695</v>
      </c>
      <c r="B497" s="14" t="str">
        <f>INDEX(orders!$F:$F,MATCH(A497,orders!$C:$C,0))</f>
        <v>Samuele Klaaassen</v>
      </c>
      <c r="C497" s="15">
        <f>_xlfn.MAXIFS(orders!$B:$B,orders!$C:$C,A497)</f>
        <v>43539</v>
      </c>
      <c r="D497" s="14">
        <f t="shared" si="43"/>
        <v>1254</v>
      </c>
      <c r="E497" s="14">
        <f>COUNTIFS(orders!$C:$C,A497)</f>
        <v>1</v>
      </c>
      <c r="F497" s="16">
        <f>SUMIFS(orders!$M:$M,orders!$C:$C,A497)</f>
        <v>17.91</v>
      </c>
      <c r="G497" s="14" t="str">
        <f>INDEX(orders!$P:$P,MATCH(A497,orders!$C:$C,0))</f>
        <v>Yes</v>
      </c>
      <c r="H497" s="17">
        <f t="shared" si="44"/>
        <v>1</v>
      </c>
      <c r="I497" s="14">
        <f t="shared" si="45"/>
        <v>1</v>
      </c>
      <c r="J497">
        <f t="shared" si="46"/>
        <v>2</v>
      </c>
      <c r="K497" s="14">
        <f t="shared" si="47"/>
        <v>4</v>
      </c>
      <c r="L497" t="str">
        <f t="shared" si="48"/>
        <v>Lapsed One-Time Buyers</v>
      </c>
    </row>
    <row r="498" spans="1:12" x14ac:dyDescent="0.3">
      <c r="A498" s="12" t="s">
        <v>6036</v>
      </c>
      <c r="B498" s="14" t="str">
        <f>INDEX(orders!$F:$F,MATCH(A498,orders!$C:$C,0))</f>
        <v>Chloette Bernardot</v>
      </c>
      <c r="C498" s="15">
        <f>_xlfn.MAXIFS(orders!$B:$B,orders!$C:$C,A498)</f>
        <v>44397</v>
      </c>
      <c r="D498" s="14">
        <f t="shared" si="43"/>
        <v>396</v>
      </c>
      <c r="E498" s="14">
        <f>COUNTIFS(orders!$C:$C,A498)</f>
        <v>1</v>
      </c>
      <c r="F498" s="16">
        <f>SUMIFS(orders!$M:$M,orders!$C:$C,A498)</f>
        <v>21.87</v>
      </c>
      <c r="G498" s="14" t="str">
        <f>INDEX(orders!$P:$P,MATCH(A498,orders!$C:$C,0))</f>
        <v>Yes</v>
      </c>
      <c r="H498" s="17">
        <f t="shared" si="44"/>
        <v>4</v>
      </c>
      <c r="I498" s="14">
        <f t="shared" si="45"/>
        <v>1</v>
      </c>
      <c r="J498">
        <f t="shared" si="46"/>
        <v>2</v>
      </c>
      <c r="K498" s="14">
        <f t="shared" si="47"/>
        <v>7</v>
      </c>
      <c r="L498" t="str">
        <f t="shared" si="48"/>
        <v>Standard One-Time Buyers</v>
      </c>
    </row>
    <row r="499" spans="1:12" x14ac:dyDescent="0.3">
      <c r="A499" s="12" t="s">
        <v>5956</v>
      </c>
      <c r="B499" s="14" t="str">
        <f>INDEX(orders!$F:$F,MATCH(A499,orders!$C:$C,0))</f>
        <v>Zeke Walisiak</v>
      </c>
      <c r="C499" s="15">
        <f>_xlfn.MAXIFS(orders!$B:$B,orders!$C:$C,A499)</f>
        <v>44246</v>
      </c>
      <c r="D499" s="14">
        <f t="shared" si="43"/>
        <v>547</v>
      </c>
      <c r="E499" s="14">
        <f>COUNTIFS(orders!$C:$C,A499)</f>
        <v>1</v>
      </c>
      <c r="F499" s="16">
        <f>SUMIFS(orders!$M:$M,orders!$C:$C,A499)</f>
        <v>2.6849999999999996</v>
      </c>
      <c r="G499" s="14" t="str">
        <f>INDEX(orders!$P:$P,MATCH(A499,orders!$C:$C,0))</f>
        <v>Yes</v>
      </c>
      <c r="H499" s="17">
        <f t="shared" si="44"/>
        <v>3</v>
      </c>
      <c r="I499" s="14">
        <f t="shared" si="45"/>
        <v>1</v>
      </c>
      <c r="J499">
        <f t="shared" si="46"/>
        <v>1</v>
      </c>
      <c r="K499" s="14">
        <f t="shared" si="47"/>
        <v>5</v>
      </c>
      <c r="L499" t="str">
        <f t="shared" si="48"/>
        <v>Standard One-Time Buyers</v>
      </c>
    </row>
    <row r="500" spans="1:12" x14ac:dyDescent="0.3">
      <c r="A500" s="12" t="s">
        <v>3344</v>
      </c>
      <c r="B500" s="14" t="str">
        <f>INDEX(orders!$F:$F,MATCH(A500,orders!$C:$C,0))</f>
        <v>Wain Stearley</v>
      </c>
      <c r="C500" s="15">
        <f>_xlfn.MAXIFS(orders!$B:$B,orders!$C:$C,A500)</f>
        <v>44609</v>
      </c>
      <c r="D500" s="14">
        <f t="shared" si="43"/>
        <v>184</v>
      </c>
      <c r="E500" s="14">
        <f>COUNTIFS(orders!$C:$C,A500)</f>
        <v>1</v>
      </c>
      <c r="F500" s="16">
        <f>SUMIFS(orders!$M:$M,orders!$C:$C,A500)</f>
        <v>26.19</v>
      </c>
      <c r="G500" s="14" t="str">
        <f>INDEX(orders!$P:$P,MATCH(A500,orders!$C:$C,0))</f>
        <v>No</v>
      </c>
      <c r="H500" s="17">
        <f t="shared" si="44"/>
        <v>5</v>
      </c>
      <c r="I500" s="14">
        <f t="shared" si="45"/>
        <v>1</v>
      </c>
      <c r="J500">
        <f t="shared" si="46"/>
        <v>3</v>
      </c>
      <c r="K500" s="14">
        <f t="shared" si="47"/>
        <v>9</v>
      </c>
      <c r="L500" t="str">
        <f t="shared" si="48"/>
        <v>Standard One-Time Buyers</v>
      </c>
    </row>
    <row r="501" spans="1:12" x14ac:dyDescent="0.3">
      <c r="A501" s="12" t="s">
        <v>4140</v>
      </c>
      <c r="B501" s="14" t="str">
        <f>INDEX(orders!$F:$F,MATCH(A501,orders!$C:$C,0))</f>
        <v>Dottie Rallin</v>
      </c>
      <c r="C501" s="15">
        <f>_xlfn.MAXIFS(orders!$B:$B,orders!$C:$C,A501)</f>
        <v>44532</v>
      </c>
      <c r="D501" s="14">
        <f t="shared" si="43"/>
        <v>261</v>
      </c>
      <c r="E501" s="14">
        <f>COUNTIFS(orders!$C:$C,A501)</f>
        <v>1</v>
      </c>
      <c r="F501" s="16">
        <f>SUMIFS(orders!$M:$M,orders!$C:$C,A501)</f>
        <v>9.9499999999999993</v>
      </c>
      <c r="G501" s="14" t="str">
        <f>INDEX(orders!$P:$P,MATCH(A501,orders!$C:$C,0))</f>
        <v>Yes</v>
      </c>
      <c r="H501" s="17">
        <f t="shared" si="44"/>
        <v>5</v>
      </c>
      <c r="I501" s="14">
        <f t="shared" si="45"/>
        <v>1</v>
      </c>
      <c r="J501">
        <f t="shared" si="46"/>
        <v>1</v>
      </c>
      <c r="K501" s="14">
        <f t="shared" si="47"/>
        <v>7</v>
      </c>
      <c r="L501" t="str">
        <f t="shared" si="48"/>
        <v>Standard One-Time Buyers</v>
      </c>
    </row>
    <row r="502" spans="1:12" x14ac:dyDescent="0.3">
      <c r="A502" s="12" t="s">
        <v>4275</v>
      </c>
      <c r="B502" s="14" t="str">
        <f>INDEX(orders!$F:$F,MATCH(A502,orders!$C:$C,0))</f>
        <v>Cecil Weatherall</v>
      </c>
      <c r="C502" s="15">
        <f>_xlfn.MAXIFS(orders!$B:$B,orders!$C:$C,A502)</f>
        <v>43606</v>
      </c>
      <c r="D502" s="14">
        <f t="shared" si="43"/>
        <v>1187</v>
      </c>
      <c r="E502" s="14">
        <f>COUNTIFS(orders!$C:$C,A502)</f>
        <v>1</v>
      </c>
      <c r="F502" s="16">
        <f>SUMIFS(orders!$M:$M,orders!$C:$C,A502)</f>
        <v>13.095000000000001</v>
      </c>
      <c r="G502" s="14" t="str">
        <f>INDEX(orders!$P:$P,MATCH(A502,orders!$C:$C,0))</f>
        <v>Yes</v>
      </c>
      <c r="H502" s="17">
        <f t="shared" si="44"/>
        <v>1</v>
      </c>
      <c r="I502" s="14">
        <f t="shared" si="45"/>
        <v>1</v>
      </c>
      <c r="J502">
        <f t="shared" si="46"/>
        <v>1</v>
      </c>
      <c r="K502" s="14">
        <f t="shared" si="47"/>
        <v>3</v>
      </c>
      <c r="L502" t="str">
        <f t="shared" si="48"/>
        <v>Lapsed One-Time Buyers</v>
      </c>
    </row>
    <row r="503" spans="1:12" x14ac:dyDescent="0.3">
      <c r="A503" s="12" t="s">
        <v>1084</v>
      </c>
      <c r="B503" s="14" t="str">
        <f>INDEX(orders!$F:$F,MATCH(A503,orders!$C:$C,0))</f>
        <v>Lind Conyers</v>
      </c>
      <c r="C503" s="15">
        <f>_xlfn.MAXIFS(orders!$B:$B,orders!$C:$C,A503)</f>
        <v>43956</v>
      </c>
      <c r="D503" s="14">
        <f t="shared" si="43"/>
        <v>837</v>
      </c>
      <c r="E503" s="14">
        <f>COUNTIFS(orders!$C:$C,A503)</f>
        <v>1</v>
      </c>
      <c r="F503" s="16">
        <f>SUMIFS(orders!$M:$M,orders!$C:$C,A503)</f>
        <v>24.3</v>
      </c>
      <c r="G503" s="14" t="str">
        <f>INDEX(orders!$P:$P,MATCH(A503,orders!$C:$C,0))</f>
        <v>No</v>
      </c>
      <c r="H503" s="17">
        <f t="shared" si="44"/>
        <v>2</v>
      </c>
      <c r="I503" s="14">
        <f t="shared" si="45"/>
        <v>1</v>
      </c>
      <c r="J503">
        <f t="shared" si="46"/>
        <v>2</v>
      </c>
      <c r="K503" s="14">
        <f t="shared" si="47"/>
        <v>5</v>
      </c>
      <c r="L503" t="str">
        <f t="shared" si="48"/>
        <v>Lapsed One-Time Buyers</v>
      </c>
    </row>
    <row r="504" spans="1:12" x14ac:dyDescent="0.3">
      <c r="A504" s="12" t="s">
        <v>4638</v>
      </c>
      <c r="B504" s="14" t="str">
        <f>INDEX(orders!$F:$F,MATCH(A504,orders!$C:$C,0))</f>
        <v>Alica Kift</v>
      </c>
      <c r="C504" s="15">
        <f>_xlfn.MAXIFS(orders!$B:$B,orders!$C:$C,A504)</f>
        <v>43697</v>
      </c>
      <c r="D504" s="14">
        <f t="shared" si="43"/>
        <v>1096</v>
      </c>
      <c r="E504" s="14">
        <f>COUNTIFS(orders!$C:$C,A504)</f>
        <v>1</v>
      </c>
      <c r="F504" s="16">
        <f>SUMIFS(orders!$M:$M,orders!$C:$C,A504)</f>
        <v>13.424999999999997</v>
      </c>
      <c r="G504" s="14" t="str">
        <f>INDEX(orders!$P:$P,MATCH(A504,orders!$C:$C,0))</f>
        <v>No</v>
      </c>
      <c r="H504" s="17">
        <f t="shared" si="44"/>
        <v>1</v>
      </c>
      <c r="I504" s="14">
        <f t="shared" si="45"/>
        <v>1</v>
      </c>
      <c r="J504">
        <f t="shared" si="46"/>
        <v>1</v>
      </c>
      <c r="K504" s="14">
        <f t="shared" si="47"/>
        <v>3</v>
      </c>
      <c r="L504" t="str">
        <f t="shared" si="48"/>
        <v>Lapsed One-Time Buyers</v>
      </c>
    </row>
    <row r="505" spans="1:12" x14ac:dyDescent="0.3">
      <c r="A505" s="12" t="s">
        <v>2684</v>
      </c>
      <c r="B505" s="14" t="str">
        <f>INDEX(orders!$F:$F,MATCH(A505,orders!$C:$C,0))</f>
        <v>Andrej Havick</v>
      </c>
      <c r="C505" s="15">
        <f>_xlfn.MAXIFS(orders!$B:$B,orders!$C:$C,A505)</f>
        <v>43536</v>
      </c>
      <c r="D505" s="14">
        <f t="shared" si="43"/>
        <v>1257</v>
      </c>
      <c r="E505" s="14">
        <f>COUNTIFS(orders!$C:$C,A505)</f>
        <v>1</v>
      </c>
      <c r="F505" s="16">
        <f>SUMIFS(orders!$M:$M,orders!$C:$C,A505)</f>
        <v>23.31</v>
      </c>
      <c r="G505" s="14" t="str">
        <f>INDEX(orders!$P:$P,MATCH(A505,orders!$C:$C,0))</f>
        <v>Yes</v>
      </c>
      <c r="H505" s="17">
        <f t="shared" si="44"/>
        <v>1</v>
      </c>
      <c r="I505" s="14">
        <f t="shared" si="45"/>
        <v>1</v>
      </c>
      <c r="J505">
        <f t="shared" si="46"/>
        <v>2</v>
      </c>
      <c r="K505" s="14">
        <f t="shared" si="47"/>
        <v>4</v>
      </c>
      <c r="L505" t="str">
        <f t="shared" si="48"/>
        <v>Lapsed One-Time Buyers</v>
      </c>
    </row>
    <row r="506" spans="1:12" x14ac:dyDescent="0.3">
      <c r="A506" s="12" t="s">
        <v>5673</v>
      </c>
      <c r="B506" s="14" t="str">
        <f>INDEX(orders!$F:$F,MATCH(A506,orders!$C:$C,0))</f>
        <v>Harland Trematick</v>
      </c>
      <c r="C506" s="15">
        <f>_xlfn.MAXIFS(orders!$B:$B,orders!$C:$C,A506)</f>
        <v>44291</v>
      </c>
      <c r="D506" s="14">
        <f t="shared" si="43"/>
        <v>502</v>
      </c>
      <c r="E506" s="14">
        <f>COUNTIFS(orders!$C:$C,A506)</f>
        <v>1</v>
      </c>
      <c r="F506" s="16">
        <f>SUMIFS(orders!$M:$M,orders!$C:$C,A506)</f>
        <v>3.645</v>
      </c>
      <c r="G506" s="14" t="str">
        <f>INDEX(orders!$P:$P,MATCH(A506,orders!$C:$C,0))</f>
        <v>Yes</v>
      </c>
      <c r="H506" s="17">
        <f t="shared" si="44"/>
        <v>4</v>
      </c>
      <c r="I506" s="14">
        <f t="shared" si="45"/>
        <v>1</v>
      </c>
      <c r="J506">
        <f t="shared" si="46"/>
        <v>1</v>
      </c>
      <c r="K506" s="14">
        <f t="shared" si="47"/>
        <v>6</v>
      </c>
      <c r="L506" t="str">
        <f t="shared" si="48"/>
        <v>Standard One-Time Buyers</v>
      </c>
    </row>
    <row r="507" spans="1:12" x14ac:dyDescent="0.3">
      <c r="A507" s="12" t="s">
        <v>1396</v>
      </c>
      <c r="B507" s="14" t="str">
        <f>INDEX(orders!$F:$F,MATCH(A507,orders!$C:$C,0))</f>
        <v>Leontine Rubrow</v>
      </c>
      <c r="C507" s="15">
        <f>_xlfn.MAXIFS(orders!$B:$B,orders!$C:$C,A507)</f>
        <v>44207</v>
      </c>
      <c r="D507" s="14">
        <f t="shared" si="43"/>
        <v>586</v>
      </c>
      <c r="E507" s="14">
        <f>COUNTIFS(orders!$C:$C,A507)</f>
        <v>1</v>
      </c>
      <c r="F507" s="16">
        <f>SUMIFS(orders!$M:$M,orders!$C:$C,A507)</f>
        <v>23.31</v>
      </c>
      <c r="G507" s="14" t="str">
        <f>INDEX(orders!$P:$P,MATCH(A507,orders!$C:$C,0))</f>
        <v>No</v>
      </c>
      <c r="H507" s="17">
        <f t="shared" si="44"/>
        <v>3</v>
      </c>
      <c r="I507" s="14">
        <f t="shared" si="45"/>
        <v>1</v>
      </c>
      <c r="J507">
        <f t="shared" si="46"/>
        <v>2</v>
      </c>
      <c r="K507" s="14">
        <f t="shared" si="47"/>
        <v>6</v>
      </c>
      <c r="L507" t="str">
        <f t="shared" si="48"/>
        <v>Standard One-Time Buyers</v>
      </c>
    </row>
    <row r="508" spans="1:12" x14ac:dyDescent="0.3">
      <c r="A508" s="12" t="s">
        <v>4793</v>
      </c>
      <c r="B508" s="14" t="str">
        <f>INDEX(orders!$F:$F,MATCH(A508,orders!$C:$C,0))</f>
        <v>Chuck Kendrick</v>
      </c>
      <c r="C508" s="15">
        <f>_xlfn.MAXIFS(orders!$B:$B,orders!$C:$C,A508)</f>
        <v>43714</v>
      </c>
      <c r="D508" s="14">
        <f t="shared" si="43"/>
        <v>1079</v>
      </c>
      <c r="E508" s="14">
        <f>COUNTIFS(orders!$C:$C,A508)</f>
        <v>1</v>
      </c>
      <c r="F508" s="16">
        <f>SUMIFS(orders!$M:$M,orders!$C:$C,A508)</f>
        <v>89.1</v>
      </c>
      <c r="G508" s="14" t="str">
        <f>INDEX(orders!$P:$P,MATCH(A508,orders!$C:$C,0))</f>
        <v>Yes</v>
      </c>
      <c r="H508" s="17">
        <f t="shared" si="44"/>
        <v>1</v>
      </c>
      <c r="I508" s="14">
        <f t="shared" si="45"/>
        <v>1</v>
      </c>
      <c r="J508">
        <f t="shared" si="46"/>
        <v>5</v>
      </c>
      <c r="K508" s="14">
        <f t="shared" si="47"/>
        <v>7</v>
      </c>
      <c r="L508" t="str">
        <f t="shared" si="48"/>
        <v>Lapsed One-Time Buyers</v>
      </c>
    </row>
    <row r="509" spans="1:12" x14ac:dyDescent="0.3">
      <c r="A509" s="12" t="s">
        <v>4218</v>
      </c>
      <c r="B509" s="14" t="str">
        <f>INDEX(orders!$F:$F,MATCH(A509,orders!$C:$C,0))</f>
        <v>Val Wakelin</v>
      </c>
      <c r="C509" s="15">
        <f>_xlfn.MAXIFS(orders!$B:$B,orders!$C:$C,A509)</f>
        <v>44084</v>
      </c>
      <c r="D509" s="14">
        <f t="shared" si="43"/>
        <v>709</v>
      </c>
      <c r="E509" s="14">
        <f>COUNTIFS(orders!$C:$C,A509)</f>
        <v>1</v>
      </c>
      <c r="F509" s="16">
        <f>SUMIFS(orders!$M:$M,orders!$C:$C,A509)</f>
        <v>53.46</v>
      </c>
      <c r="G509" s="14" t="str">
        <f>INDEX(orders!$P:$P,MATCH(A509,orders!$C:$C,0))</f>
        <v>No</v>
      </c>
      <c r="H509" s="17">
        <f t="shared" si="44"/>
        <v>3</v>
      </c>
      <c r="I509" s="14">
        <f t="shared" si="45"/>
        <v>1</v>
      </c>
      <c r="J509">
        <f t="shared" si="46"/>
        <v>4</v>
      </c>
      <c r="K509" s="14">
        <f t="shared" si="47"/>
        <v>8</v>
      </c>
      <c r="L509" t="str">
        <f t="shared" si="48"/>
        <v>Standard One-Time Buyers</v>
      </c>
    </row>
    <row r="510" spans="1:12" x14ac:dyDescent="0.3">
      <c r="A510" s="12" t="s">
        <v>4882</v>
      </c>
      <c r="B510" s="14" t="str">
        <f>INDEX(orders!$F:$F,MATCH(A510,orders!$C:$C,0))</f>
        <v>Janella Eden</v>
      </c>
      <c r="C510" s="15">
        <f>_xlfn.MAXIFS(orders!$B:$B,orders!$C:$C,A510)</f>
        <v>43541</v>
      </c>
      <c r="D510" s="14">
        <f t="shared" si="43"/>
        <v>1252</v>
      </c>
      <c r="E510" s="14">
        <f>COUNTIFS(orders!$C:$C,A510)</f>
        <v>1</v>
      </c>
      <c r="F510" s="16">
        <f>SUMIFS(orders!$M:$M,orders!$C:$C,A510)</f>
        <v>59.569999999999993</v>
      </c>
      <c r="G510" s="14" t="str">
        <f>INDEX(orders!$P:$P,MATCH(A510,orders!$C:$C,0))</f>
        <v>No</v>
      </c>
      <c r="H510" s="17">
        <f t="shared" si="44"/>
        <v>1</v>
      </c>
      <c r="I510" s="14">
        <f t="shared" si="45"/>
        <v>1</v>
      </c>
      <c r="J510">
        <f t="shared" si="46"/>
        <v>4</v>
      </c>
      <c r="K510" s="14">
        <f t="shared" si="47"/>
        <v>6</v>
      </c>
      <c r="L510" t="str">
        <f t="shared" si="48"/>
        <v>Lapsed One-Time Buyers</v>
      </c>
    </row>
    <row r="511" spans="1:12" x14ac:dyDescent="0.3">
      <c r="A511" s="12" t="s">
        <v>1772</v>
      </c>
      <c r="B511" s="14" t="str">
        <f>INDEX(orders!$F:$F,MATCH(A511,orders!$C:$C,0))</f>
        <v>Noak Wyvill</v>
      </c>
      <c r="C511" s="15">
        <f>_xlfn.MAXIFS(orders!$B:$B,orders!$C:$C,A511)</f>
        <v>43880</v>
      </c>
      <c r="D511" s="14">
        <f t="shared" si="43"/>
        <v>913</v>
      </c>
      <c r="E511" s="14">
        <f>COUNTIFS(orders!$C:$C,A511)</f>
        <v>1</v>
      </c>
      <c r="F511" s="16">
        <f>SUMIFS(orders!$M:$M,orders!$C:$C,A511)</f>
        <v>16.11</v>
      </c>
      <c r="G511" s="14" t="str">
        <f>INDEX(orders!$P:$P,MATCH(A511,orders!$C:$C,0))</f>
        <v>Yes</v>
      </c>
      <c r="H511" s="17">
        <f t="shared" si="44"/>
        <v>2</v>
      </c>
      <c r="I511" s="14">
        <f t="shared" si="45"/>
        <v>1</v>
      </c>
      <c r="J511">
        <f t="shared" si="46"/>
        <v>2</v>
      </c>
      <c r="K511" s="14">
        <f t="shared" si="47"/>
        <v>5</v>
      </c>
      <c r="L511" t="str">
        <f t="shared" si="48"/>
        <v>Lapsed One-Time Buyers</v>
      </c>
    </row>
    <row r="512" spans="1:12" x14ac:dyDescent="0.3">
      <c r="A512" s="12" t="s">
        <v>2098</v>
      </c>
      <c r="B512" s="14" t="str">
        <f>INDEX(orders!$F:$F,MATCH(A512,orders!$C:$C,0))</f>
        <v>Nanine McCarthy</v>
      </c>
      <c r="C512" s="15">
        <f>_xlfn.MAXIFS(orders!$B:$B,orders!$C:$C,A512)</f>
        <v>43960</v>
      </c>
      <c r="D512" s="14">
        <f t="shared" si="43"/>
        <v>833</v>
      </c>
      <c r="E512" s="14">
        <f>COUNTIFS(orders!$C:$C,A512)</f>
        <v>1</v>
      </c>
      <c r="F512" s="16">
        <f>SUMIFS(orders!$M:$M,orders!$C:$C,A512)</f>
        <v>94.874999999999986</v>
      </c>
      <c r="G512" s="14" t="str">
        <f>INDEX(orders!$P:$P,MATCH(A512,orders!$C:$C,0))</f>
        <v>No</v>
      </c>
      <c r="H512" s="17">
        <f t="shared" si="44"/>
        <v>2</v>
      </c>
      <c r="I512" s="14">
        <f t="shared" si="45"/>
        <v>1</v>
      </c>
      <c r="J512">
        <f t="shared" si="46"/>
        <v>5</v>
      </c>
      <c r="K512" s="14">
        <f t="shared" si="47"/>
        <v>8</v>
      </c>
      <c r="L512" t="str">
        <f t="shared" si="48"/>
        <v>Lapsed One-Time Buyers</v>
      </c>
    </row>
    <row r="513" spans="1:12" x14ac:dyDescent="0.3">
      <c r="A513" s="12" t="s">
        <v>4597</v>
      </c>
      <c r="B513" s="14" t="str">
        <f>INDEX(orders!$F:$F,MATCH(A513,orders!$C:$C,0))</f>
        <v>Rikki Tomkowicz</v>
      </c>
      <c r="C513" s="15">
        <f>_xlfn.MAXIFS(orders!$B:$B,orders!$C:$C,A513)</f>
        <v>44264</v>
      </c>
      <c r="D513" s="14">
        <f t="shared" si="43"/>
        <v>529</v>
      </c>
      <c r="E513" s="14">
        <f>COUNTIFS(orders!$C:$C,A513)</f>
        <v>1</v>
      </c>
      <c r="F513" s="16">
        <f>SUMIFS(orders!$M:$M,orders!$C:$C,A513)</f>
        <v>29.849999999999998</v>
      </c>
      <c r="G513" s="14" t="str">
        <f>INDEX(orders!$P:$P,MATCH(A513,orders!$C:$C,0))</f>
        <v>Yes</v>
      </c>
      <c r="H513" s="17">
        <f t="shared" si="44"/>
        <v>3</v>
      </c>
      <c r="I513" s="14">
        <f t="shared" si="45"/>
        <v>1</v>
      </c>
      <c r="J513">
        <f t="shared" si="46"/>
        <v>3</v>
      </c>
      <c r="K513" s="14">
        <f t="shared" si="47"/>
        <v>7</v>
      </c>
      <c r="L513" t="str">
        <f t="shared" si="48"/>
        <v>Standard One-Time Buyers</v>
      </c>
    </row>
    <row r="514" spans="1:12" x14ac:dyDescent="0.3">
      <c r="A514" s="12" t="s">
        <v>1351</v>
      </c>
      <c r="B514" s="14" t="str">
        <f>INDEX(orders!$F:$F,MATCH(A514,orders!$C:$C,0))</f>
        <v>Hetti Penson</v>
      </c>
      <c r="C514" s="15">
        <f>_xlfn.MAXIFS(orders!$B:$B,orders!$C:$C,A514)</f>
        <v>44367</v>
      </c>
      <c r="D514" s="14">
        <f t="shared" si="43"/>
        <v>426</v>
      </c>
      <c r="E514" s="14">
        <f>COUNTIFS(orders!$C:$C,A514)</f>
        <v>1</v>
      </c>
      <c r="F514" s="16">
        <f>SUMIFS(orders!$M:$M,orders!$C:$C,A514)</f>
        <v>2.6849999999999996</v>
      </c>
      <c r="G514" s="14" t="str">
        <f>INDEX(orders!$P:$P,MATCH(A514,orders!$C:$C,0))</f>
        <v>No</v>
      </c>
      <c r="H514" s="17">
        <f t="shared" si="44"/>
        <v>4</v>
      </c>
      <c r="I514" s="14">
        <f t="shared" si="45"/>
        <v>1</v>
      </c>
      <c r="J514">
        <f t="shared" si="46"/>
        <v>1</v>
      </c>
      <c r="K514" s="14">
        <f t="shared" si="47"/>
        <v>6</v>
      </c>
      <c r="L514" t="str">
        <f t="shared" si="48"/>
        <v>Standard One-Time Buyers</v>
      </c>
    </row>
    <row r="515" spans="1:12" x14ac:dyDescent="0.3">
      <c r="A515" s="12" t="s">
        <v>5985</v>
      </c>
      <c r="B515" s="14" t="str">
        <f>INDEX(orders!$F:$F,MATCH(A515,orders!$C:$C,0))</f>
        <v>Dinah Crutcher</v>
      </c>
      <c r="C515" s="15">
        <f>_xlfn.MAXIFS(orders!$B:$B,orders!$C:$C,A515)</f>
        <v>44411</v>
      </c>
      <c r="D515" s="14">
        <f t="shared" si="43"/>
        <v>382</v>
      </c>
      <c r="E515" s="14">
        <f>COUNTIFS(orders!$C:$C,A515)</f>
        <v>1</v>
      </c>
      <c r="F515" s="16">
        <f>SUMIFS(orders!$M:$M,orders!$C:$C,A515)</f>
        <v>89.35499999999999</v>
      </c>
      <c r="G515" s="14" t="str">
        <f>INDEX(orders!$P:$P,MATCH(A515,orders!$C:$C,0))</f>
        <v>Yes</v>
      </c>
      <c r="H515" s="17">
        <f t="shared" si="44"/>
        <v>4</v>
      </c>
      <c r="I515" s="14">
        <f t="shared" si="45"/>
        <v>1</v>
      </c>
      <c r="J515">
        <f t="shared" si="46"/>
        <v>5</v>
      </c>
      <c r="K515" s="14">
        <f t="shared" si="47"/>
        <v>10</v>
      </c>
      <c r="L515" t="str">
        <f t="shared" si="48"/>
        <v>Recent High-Value (One-Time)</v>
      </c>
    </row>
    <row r="516" spans="1:12" x14ac:dyDescent="0.3">
      <c r="A516" s="12" t="s">
        <v>2069</v>
      </c>
      <c r="B516" s="14" t="str">
        <f>INDEX(orders!$F:$F,MATCH(A516,orders!$C:$C,0))</f>
        <v>Parsifal Metrick</v>
      </c>
      <c r="C516" s="15">
        <f>_xlfn.MAXIFS(orders!$B:$B,orders!$C:$C,A516)</f>
        <v>43521</v>
      </c>
      <c r="D516" s="14">
        <f t="shared" si="43"/>
        <v>1272</v>
      </c>
      <c r="E516" s="14">
        <f>COUNTIFS(orders!$C:$C,A516)</f>
        <v>1</v>
      </c>
      <c r="F516" s="16">
        <f>SUMIFS(orders!$M:$M,orders!$C:$C,A516)</f>
        <v>33.464999999999996</v>
      </c>
      <c r="G516" s="14" t="str">
        <f>INDEX(orders!$P:$P,MATCH(A516,orders!$C:$C,0))</f>
        <v>Yes</v>
      </c>
      <c r="H516" s="17">
        <f t="shared" si="44"/>
        <v>1</v>
      </c>
      <c r="I516" s="14">
        <f t="shared" si="45"/>
        <v>1</v>
      </c>
      <c r="J516">
        <f t="shared" si="46"/>
        <v>3</v>
      </c>
      <c r="K516" s="14">
        <f t="shared" si="47"/>
        <v>5</v>
      </c>
      <c r="L516" t="str">
        <f t="shared" si="48"/>
        <v>Lapsed One-Time Buyers</v>
      </c>
    </row>
    <row r="517" spans="1:12" x14ac:dyDescent="0.3">
      <c r="A517" s="12" t="s">
        <v>594</v>
      </c>
      <c r="B517" s="14" t="str">
        <f>INDEX(orders!$F:$F,MATCH(A517,orders!$C:$C,0))</f>
        <v>Pall Redford</v>
      </c>
      <c r="C517" s="15">
        <f>_xlfn.MAXIFS(orders!$B:$B,orders!$C:$C,A517)</f>
        <v>43629</v>
      </c>
      <c r="D517" s="14">
        <f t="shared" si="43"/>
        <v>1164</v>
      </c>
      <c r="E517" s="14">
        <f>COUNTIFS(orders!$C:$C,A517)</f>
        <v>1</v>
      </c>
      <c r="F517" s="16">
        <f>SUMIFS(orders!$M:$M,orders!$C:$C,A517)</f>
        <v>82.339999999999989</v>
      </c>
      <c r="G517" s="14" t="str">
        <f>INDEX(orders!$P:$P,MATCH(A517,orders!$C:$C,0))</f>
        <v>Yes</v>
      </c>
      <c r="H517" s="17">
        <f t="shared" si="44"/>
        <v>1</v>
      </c>
      <c r="I517" s="14">
        <f t="shared" si="45"/>
        <v>1</v>
      </c>
      <c r="J517">
        <f t="shared" si="46"/>
        <v>5</v>
      </c>
      <c r="K517" s="14">
        <f t="shared" si="47"/>
        <v>7</v>
      </c>
      <c r="L517" t="str">
        <f t="shared" si="48"/>
        <v>Lapsed One-Time Buyers</v>
      </c>
    </row>
    <row r="518" spans="1:12" x14ac:dyDescent="0.3">
      <c r="A518" s="12" t="s">
        <v>5554</v>
      </c>
      <c r="B518" s="14" t="str">
        <f>INDEX(orders!$F:$F,MATCH(A518,orders!$C:$C,0))</f>
        <v>Derick Snow</v>
      </c>
      <c r="C518" s="15">
        <f>_xlfn.MAXIFS(orders!$B:$B,orders!$C:$C,A518)</f>
        <v>44770</v>
      </c>
      <c r="D518" s="14">
        <f t="shared" ref="D518:D581" si="49">$B$1-C518</f>
        <v>23</v>
      </c>
      <c r="E518" s="14">
        <f>COUNTIFS(orders!$C:$C,A518)</f>
        <v>3</v>
      </c>
      <c r="F518" s="16">
        <f>SUMIFS(orders!$M:$M,orders!$C:$C,A518)</f>
        <v>251.12499999999997</v>
      </c>
      <c r="G518" s="14" t="str">
        <f>INDEX(orders!$P:$P,MATCH(A518,orders!$C:$C,0))</f>
        <v>No</v>
      </c>
      <c r="H518" s="17">
        <f t="shared" ref="H518:H581" si="50">IF(D518&lt;=$E$1,5,IF(D518&lt;=$F$1,4,IF(D518&lt;=$G$1,3,IF(D518&lt;=$H$1,2,1))))</f>
        <v>5</v>
      </c>
      <c r="I518" s="14">
        <f t="shared" ref="I518:I581" si="51">IF(E518&lt;=1,1,IF(E518&lt;=2,3,5))</f>
        <v>5</v>
      </c>
      <c r="J518">
        <f t="shared" ref="J518:J581" si="52">IF(F518&lt;=PERCENTILE($F$5:$F$917,0.2),1,IF(F518&lt;=PERCENTILE($F$5:$F$917,0.4),2,IF(F518&lt;=PERCENTILE($F$5:$F$917,0.6),3,IF(F518&lt;=PERCENTILE($F$5:$F$917,0.8),4,5))))</f>
        <v>5</v>
      </c>
      <c r="K518" s="14">
        <f t="shared" ref="K518:K581" si="53">H518+I518+J518</f>
        <v>15</v>
      </c>
      <c r="L518" t="str">
        <f t="shared" ref="L518:L581" si="54">IF(AND(E518&gt;=2,H518&gt;=4),"Loyal Repeat Customers",IF(E518&gt;=2,"At-Risk Repeat Customers",IF(AND(H518&gt;=4,J518&gt;=4),"Recent High-Value (One-Time)",IF(H518&lt;=2,"Lapsed One-Time Buyers","Standard One-Time Buyers"))))</f>
        <v>Loyal Repeat Customers</v>
      </c>
    </row>
    <row r="519" spans="1:12" x14ac:dyDescent="0.3">
      <c r="A519" s="12" t="s">
        <v>3578</v>
      </c>
      <c r="B519" s="14" t="str">
        <f>INDEX(orders!$F:$F,MATCH(A519,orders!$C:$C,0))</f>
        <v>Dom Milella</v>
      </c>
      <c r="C519" s="15">
        <f>_xlfn.MAXIFS(orders!$B:$B,orders!$C:$C,A519)</f>
        <v>44127</v>
      </c>
      <c r="D519" s="14">
        <f t="shared" si="49"/>
        <v>666</v>
      </c>
      <c r="E519" s="14">
        <f>COUNTIFS(orders!$C:$C,A519)</f>
        <v>1</v>
      </c>
      <c r="F519" s="16">
        <f>SUMIFS(orders!$M:$M,orders!$C:$C,A519)</f>
        <v>83.835000000000008</v>
      </c>
      <c r="G519" s="14" t="str">
        <f>INDEX(orders!$P:$P,MATCH(A519,orders!$C:$C,0))</f>
        <v>No</v>
      </c>
      <c r="H519" s="17">
        <f t="shared" si="50"/>
        <v>3</v>
      </c>
      <c r="I519" s="14">
        <f t="shared" si="51"/>
        <v>1</v>
      </c>
      <c r="J519">
        <f t="shared" si="52"/>
        <v>5</v>
      </c>
      <c r="K519" s="14">
        <f t="shared" si="53"/>
        <v>9</v>
      </c>
      <c r="L519" t="str">
        <f t="shared" si="54"/>
        <v>Standard One-Time Buyers</v>
      </c>
    </row>
    <row r="520" spans="1:12" x14ac:dyDescent="0.3">
      <c r="A520" s="12" t="s">
        <v>4632</v>
      </c>
      <c r="B520" s="14" t="str">
        <f>INDEX(orders!$F:$F,MATCH(A520,orders!$C:$C,0))</f>
        <v>Glory Clemon</v>
      </c>
      <c r="C520" s="15">
        <f>_xlfn.MAXIFS(orders!$B:$B,orders!$C:$C,A520)</f>
        <v>44565</v>
      </c>
      <c r="D520" s="14">
        <f t="shared" si="49"/>
        <v>228</v>
      </c>
      <c r="E520" s="14">
        <f>COUNTIFS(orders!$C:$C,A520)</f>
        <v>1</v>
      </c>
      <c r="F520" s="16">
        <f>SUMIFS(orders!$M:$M,orders!$C:$C,A520)</f>
        <v>100.39499999999998</v>
      </c>
      <c r="G520" s="14" t="str">
        <f>INDEX(orders!$P:$P,MATCH(A520,orders!$C:$C,0))</f>
        <v>Yes</v>
      </c>
      <c r="H520" s="17">
        <f t="shared" si="50"/>
        <v>5</v>
      </c>
      <c r="I520" s="14">
        <f t="shared" si="51"/>
        <v>1</v>
      </c>
      <c r="J520">
        <f t="shared" si="52"/>
        <v>5</v>
      </c>
      <c r="K520" s="14">
        <f t="shared" si="53"/>
        <v>11</v>
      </c>
      <c r="L520" t="str">
        <f t="shared" si="54"/>
        <v>Recent High-Value (One-Time)</v>
      </c>
    </row>
    <row r="521" spans="1:12" x14ac:dyDescent="0.3">
      <c r="A521" s="12" t="s">
        <v>3684</v>
      </c>
      <c r="B521" s="14" t="str">
        <f>INDEX(orders!$F:$F,MATCH(A521,orders!$C:$C,0))</f>
        <v>Jackquelin Chugg</v>
      </c>
      <c r="C521" s="15">
        <f>_xlfn.MAXIFS(orders!$B:$B,orders!$C:$C,A521)</f>
        <v>44031</v>
      </c>
      <c r="D521" s="14">
        <f t="shared" si="49"/>
        <v>762</v>
      </c>
      <c r="E521" s="14">
        <f>COUNTIFS(orders!$C:$C,A521)</f>
        <v>1</v>
      </c>
      <c r="F521" s="16">
        <f>SUMIFS(orders!$M:$M,orders!$C:$C,A521)</f>
        <v>82.339999999999989</v>
      </c>
      <c r="G521" s="14" t="str">
        <f>INDEX(orders!$P:$P,MATCH(A521,orders!$C:$C,0))</f>
        <v>No</v>
      </c>
      <c r="H521" s="17">
        <f t="shared" si="50"/>
        <v>3</v>
      </c>
      <c r="I521" s="14">
        <f t="shared" si="51"/>
        <v>1</v>
      </c>
      <c r="J521">
        <f t="shared" si="52"/>
        <v>5</v>
      </c>
      <c r="K521" s="14">
        <f t="shared" si="53"/>
        <v>9</v>
      </c>
      <c r="L521" t="str">
        <f t="shared" si="54"/>
        <v>Standard One-Time Buyers</v>
      </c>
    </row>
    <row r="522" spans="1:12" x14ac:dyDescent="0.3">
      <c r="A522" s="12" t="s">
        <v>4500</v>
      </c>
      <c r="B522" s="14" t="str">
        <f>INDEX(orders!$F:$F,MATCH(A522,orders!$C:$C,0))</f>
        <v>Stearne Count</v>
      </c>
      <c r="C522" s="15">
        <f>_xlfn.MAXIFS(orders!$B:$B,orders!$C:$C,A522)</f>
        <v>44655</v>
      </c>
      <c r="D522" s="14">
        <f t="shared" si="49"/>
        <v>138</v>
      </c>
      <c r="E522" s="14">
        <f>COUNTIFS(orders!$C:$C,A522)</f>
        <v>1</v>
      </c>
      <c r="F522" s="16">
        <f>SUMIFS(orders!$M:$M,orders!$C:$C,A522)</f>
        <v>24.75</v>
      </c>
      <c r="G522" s="14" t="str">
        <f>INDEX(orders!$P:$P,MATCH(A522,orders!$C:$C,0))</f>
        <v>No</v>
      </c>
      <c r="H522" s="17">
        <f t="shared" si="50"/>
        <v>5</v>
      </c>
      <c r="I522" s="14">
        <f t="shared" si="51"/>
        <v>1</v>
      </c>
      <c r="J522">
        <f t="shared" si="52"/>
        <v>2</v>
      </c>
      <c r="K522" s="14">
        <f t="shared" si="53"/>
        <v>8</v>
      </c>
      <c r="L522" t="str">
        <f t="shared" si="54"/>
        <v>Standard One-Time Buyers</v>
      </c>
    </row>
    <row r="523" spans="1:12" x14ac:dyDescent="0.3">
      <c r="A523" s="12" t="s">
        <v>2257</v>
      </c>
      <c r="B523" s="14" t="str">
        <f>INDEX(orders!$F:$F,MATCH(A523,orders!$C:$C,0))</f>
        <v>Ailene Nesfield</v>
      </c>
      <c r="C523" s="15">
        <f>_xlfn.MAXIFS(orders!$B:$B,orders!$C:$C,A523)</f>
        <v>44497</v>
      </c>
      <c r="D523" s="14">
        <f t="shared" si="49"/>
        <v>296</v>
      </c>
      <c r="E523" s="14">
        <f>COUNTIFS(orders!$C:$C,A523)</f>
        <v>1</v>
      </c>
      <c r="F523" s="16">
        <f>SUMIFS(orders!$M:$M,orders!$C:$C,A523)</f>
        <v>29.849999999999998</v>
      </c>
      <c r="G523" s="14" t="str">
        <f>INDEX(orders!$P:$P,MATCH(A523,orders!$C:$C,0))</f>
        <v>Yes</v>
      </c>
      <c r="H523" s="17">
        <f t="shared" si="50"/>
        <v>4</v>
      </c>
      <c r="I523" s="14">
        <f t="shared" si="51"/>
        <v>1</v>
      </c>
      <c r="J523">
        <f t="shared" si="52"/>
        <v>3</v>
      </c>
      <c r="K523" s="14">
        <f t="shared" si="53"/>
        <v>8</v>
      </c>
      <c r="L523" t="str">
        <f t="shared" si="54"/>
        <v>Standard One-Time Buyers</v>
      </c>
    </row>
    <row r="524" spans="1:12" x14ac:dyDescent="0.3">
      <c r="A524" s="12" t="s">
        <v>5650</v>
      </c>
      <c r="B524" s="14" t="str">
        <f>INDEX(orders!$F:$F,MATCH(A524,orders!$C:$C,0))</f>
        <v>Paulie Fonzone</v>
      </c>
      <c r="C524" s="15">
        <f>_xlfn.MAXIFS(orders!$B:$B,orders!$C:$C,A524)</f>
        <v>43726</v>
      </c>
      <c r="D524" s="14">
        <f t="shared" si="49"/>
        <v>1067</v>
      </c>
      <c r="E524" s="14">
        <f>COUNTIFS(orders!$C:$C,A524)</f>
        <v>1</v>
      </c>
      <c r="F524" s="16">
        <f>SUMIFS(orders!$M:$M,orders!$C:$C,A524)</f>
        <v>137.31</v>
      </c>
      <c r="G524" s="14" t="str">
        <f>INDEX(orders!$P:$P,MATCH(A524,orders!$C:$C,0))</f>
        <v>Yes</v>
      </c>
      <c r="H524" s="17">
        <f t="shared" si="50"/>
        <v>1</v>
      </c>
      <c r="I524" s="14">
        <f t="shared" si="51"/>
        <v>1</v>
      </c>
      <c r="J524">
        <f t="shared" si="52"/>
        <v>5</v>
      </c>
      <c r="K524" s="14">
        <f t="shared" si="53"/>
        <v>7</v>
      </c>
      <c r="L524" t="str">
        <f t="shared" si="54"/>
        <v>Lapsed One-Time Buyers</v>
      </c>
    </row>
    <row r="525" spans="1:12" x14ac:dyDescent="0.3">
      <c r="A525" s="12" t="s">
        <v>976</v>
      </c>
      <c r="B525" s="14" t="str">
        <f>INDEX(orders!$F:$F,MATCH(A525,orders!$C:$C,0))</f>
        <v>Blancha McAmish</v>
      </c>
      <c r="C525" s="15">
        <f>_xlfn.MAXIFS(orders!$B:$B,orders!$C:$C,A525)</f>
        <v>44232</v>
      </c>
      <c r="D525" s="14">
        <f t="shared" si="49"/>
        <v>561</v>
      </c>
      <c r="E525" s="14">
        <f>COUNTIFS(orders!$C:$C,A525)</f>
        <v>1</v>
      </c>
      <c r="F525" s="16">
        <f>SUMIFS(orders!$M:$M,orders!$C:$C,A525)</f>
        <v>38.849999999999994</v>
      </c>
      <c r="G525" s="14" t="str">
        <f>INDEX(orders!$P:$P,MATCH(A525,orders!$C:$C,0))</f>
        <v>Yes</v>
      </c>
      <c r="H525" s="17">
        <f t="shared" si="50"/>
        <v>3</v>
      </c>
      <c r="I525" s="14">
        <f t="shared" si="51"/>
        <v>1</v>
      </c>
      <c r="J525">
        <f t="shared" si="52"/>
        <v>3</v>
      </c>
      <c r="K525" s="14">
        <f t="shared" si="53"/>
        <v>7</v>
      </c>
      <c r="L525" t="str">
        <f t="shared" si="54"/>
        <v>Standard One-Time Buyers</v>
      </c>
    </row>
    <row r="526" spans="1:12" x14ac:dyDescent="0.3">
      <c r="A526" s="12" t="s">
        <v>828</v>
      </c>
      <c r="B526" s="14" t="str">
        <f>INDEX(orders!$F:$F,MATCH(A526,orders!$C:$C,0))</f>
        <v>Correy Cottingham</v>
      </c>
      <c r="C526" s="15">
        <f>_xlfn.MAXIFS(orders!$B:$B,orders!$C:$C,A526)</f>
        <v>44252</v>
      </c>
      <c r="D526" s="14">
        <f t="shared" si="49"/>
        <v>541</v>
      </c>
      <c r="E526" s="14">
        <f>COUNTIFS(orders!$C:$C,A526)</f>
        <v>1</v>
      </c>
      <c r="F526" s="16">
        <f>SUMIFS(orders!$M:$M,orders!$C:$C,A526)</f>
        <v>114.42499999999998</v>
      </c>
      <c r="G526" s="14" t="str">
        <f>INDEX(orders!$P:$P,MATCH(A526,orders!$C:$C,0))</f>
        <v>No</v>
      </c>
      <c r="H526" s="17">
        <f t="shared" si="50"/>
        <v>3</v>
      </c>
      <c r="I526" s="14">
        <f t="shared" si="51"/>
        <v>1</v>
      </c>
      <c r="J526">
        <f t="shared" si="52"/>
        <v>5</v>
      </c>
      <c r="K526" s="14">
        <f t="shared" si="53"/>
        <v>9</v>
      </c>
      <c r="L526" t="str">
        <f t="shared" si="54"/>
        <v>Standard One-Time Buyers</v>
      </c>
    </row>
    <row r="527" spans="1:12" x14ac:dyDescent="0.3">
      <c r="A527" s="12" t="s">
        <v>2138</v>
      </c>
      <c r="B527" s="14" t="str">
        <f>INDEX(orders!$F:$F,MATCH(A527,orders!$C:$C,0))</f>
        <v>Isidore Hussey</v>
      </c>
      <c r="C527" s="15">
        <f>_xlfn.MAXIFS(orders!$B:$B,orders!$C:$C,A527)</f>
        <v>44529</v>
      </c>
      <c r="D527" s="14">
        <f t="shared" si="49"/>
        <v>264</v>
      </c>
      <c r="E527" s="14">
        <f>COUNTIFS(orders!$C:$C,A527)</f>
        <v>1</v>
      </c>
      <c r="F527" s="16">
        <f>SUMIFS(orders!$M:$M,orders!$C:$C,A527)</f>
        <v>17.91</v>
      </c>
      <c r="G527" s="14" t="str">
        <f>INDEX(orders!$P:$P,MATCH(A527,orders!$C:$C,0))</f>
        <v>No</v>
      </c>
      <c r="H527" s="17">
        <f t="shared" si="50"/>
        <v>5</v>
      </c>
      <c r="I527" s="14">
        <f t="shared" si="51"/>
        <v>1</v>
      </c>
      <c r="J527">
        <f t="shared" si="52"/>
        <v>2</v>
      </c>
      <c r="K527" s="14">
        <f t="shared" si="53"/>
        <v>8</v>
      </c>
      <c r="L527" t="str">
        <f t="shared" si="54"/>
        <v>Standard One-Time Buyers</v>
      </c>
    </row>
    <row r="528" spans="1:12" x14ac:dyDescent="0.3">
      <c r="A528" s="12" t="s">
        <v>3209</v>
      </c>
      <c r="B528" s="14" t="str">
        <f>INDEX(orders!$F:$F,MATCH(A528,orders!$C:$C,0))</f>
        <v>Nanny Izhakov</v>
      </c>
      <c r="C528" s="15">
        <f>_xlfn.MAXIFS(orders!$B:$B,orders!$C:$C,A528)</f>
        <v>43747</v>
      </c>
      <c r="D528" s="14">
        <f t="shared" si="49"/>
        <v>1046</v>
      </c>
      <c r="E528" s="14">
        <f>COUNTIFS(orders!$C:$C,A528)</f>
        <v>1</v>
      </c>
      <c r="F528" s="16">
        <f>SUMIFS(orders!$M:$M,orders!$C:$C,A528)</f>
        <v>23.9</v>
      </c>
      <c r="G528" s="14" t="str">
        <f>INDEX(orders!$P:$P,MATCH(A528,orders!$C:$C,0))</f>
        <v>No</v>
      </c>
      <c r="H528" s="17">
        <f t="shared" si="50"/>
        <v>1</v>
      </c>
      <c r="I528" s="14">
        <f t="shared" si="51"/>
        <v>1</v>
      </c>
      <c r="J528">
        <f t="shared" si="52"/>
        <v>2</v>
      </c>
      <c r="K528" s="14">
        <f t="shared" si="53"/>
        <v>4</v>
      </c>
      <c r="L528" t="str">
        <f t="shared" si="54"/>
        <v>Lapsed One-Time Buyers</v>
      </c>
    </row>
    <row r="529" spans="1:12" x14ac:dyDescent="0.3">
      <c r="A529" s="12" t="s">
        <v>2969</v>
      </c>
      <c r="B529" s="14" t="str">
        <f>INDEX(orders!$F:$F,MATCH(A529,orders!$C:$C,0))</f>
        <v>Freda Hollows</v>
      </c>
      <c r="C529" s="15">
        <f>_xlfn.MAXIFS(orders!$B:$B,orders!$C:$C,A529)</f>
        <v>44230</v>
      </c>
      <c r="D529" s="14">
        <f t="shared" si="49"/>
        <v>563</v>
      </c>
      <c r="E529" s="14">
        <f>COUNTIFS(orders!$C:$C,A529)</f>
        <v>1</v>
      </c>
      <c r="F529" s="16">
        <f>SUMIFS(orders!$M:$M,orders!$C:$C,A529)</f>
        <v>103.49999999999999</v>
      </c>
      <c r="G529" s="14" t="str">
        <f>INDEX(orders!$P:$P,MATCH(A529,orders!$C:$C,0))</f>
        <v>Yes</v>
      </c>
      <c r="H529" s="17">
        <f t="shared" si="50"/>
        <v>3</v>
      </c>
      <c r="I529" s="14">
        <f t="shared" si="51"/>
        <v>1</v>
      </c>
      <c r="J529">
        <f t="shared" si="52"/>
        <v>5</v>
      </c>
      <c r="K529" s="14">
        <f t="shared" si="53"/>
        <v>9</v>
      </c>
      <c r="L529" t="str">
        <f t="shared" si="54"/>
        <v>Standard One-Time Buyers</v>
      </c>
    </row>
    <row r="530" spans="1:12" x14ac:dyDescent="0.3">
      <c r="A530" s="12" t="s">
        <v>1941</v>
      </c>
      <c r="B530" s="14" t="str">
        <f>INDEX(orders!$F:$F,MATCH(A530,orders!$C:$C,0))</f>
        <v>Denyse O'Calleran</v>
      </c>
      <c r="C530" s="15">
        <f>_xlfn.MAXIFS(orders!$B:$B,orders!$C:$C,A530)</f>
        <v>44676</v>
      </c>
      <c r="D530" s="14">
        <f t="shared" si="49"/>
        <v>117</v>
      </c>
      <c r="E530" s="14">
        <f>COUNTIFS(orders!$C:$C,A530)</f>
        <v>1</v>
      </c>
      <c r="F530" s="16">
        <f>SUMIFS(orders!$M:$M,orders!$C:$C,A530)</f>
        <v>27.945</v>
      </c>
      <c r="G530" s="14" t="str">
        <f>INDEX(orders!$P:$P,MATCH(A530,orders!$C:$C,0))</f>
        <v>Yes</v>
      </c>
      <c r="H530" s="17">
        <f t="shared" si="50"/>
        <v>5</v>
      </c>
      <c r="I530" s="14">
        <f t="shared" si="51"/>
        <v>1</v>
      </c>
      <c r="J530">
        <f t="shared" si="52"/>
        <v>3</v>
      </c>
      <c r="K530" s="14">
        <f t="shared" si="53"/>
        <v>9</v>
      </c>
      <c r="L530" t="str">
        <f t="shared" si="54"/>
        <v>Standard One-Time Buyers</v>
      </c>
    </row>
    <row r="531" spans="1:12" x14ac:dyDescent="0.3">
      <c r="A531" s="12" t="s">
        <v>2604</v>
      </c>
      <c r="B531" s="14" t="str">
        <f>INDEX(orders!$F:$F,MATCH(A531,orders!$C:$C,0))</f>
        <v>Waylin Hollingdale</v>
      </c>
      <c r="C531" s="15">
        <f>_xlfn.MAXIFS(orders!$B:$B,orders!$C:$C,A531)</f>
        <v>44120</v>
      </c>
      <c r="D531" s="14">
        <f t="shared" si="49"/>
        <v>673</v>
      </c>
      <c r="E531" s="14">
        <f>COUNTIFS(orders!$C:$C,A531)</f>
        <v>1</v>
      </c>
      <c r="F531" s="16">
        <f>SUMIFS(orders!$M:$M,orders!$C:$C,A531)</f>
        <v>6.75</v>
      </c>
      <c r="G531" s="14" t="str">
        <f>INDEX(orders!$P:$P,MATCH(A531,orders!$C:$C,0))</f>
        <v>Yes</v>
      </c>
      <c r="H531" s="17">
        <f t="shared" si="50"/>
        <v>3</v>
      </c>
      <c r="I531" s="14">
        <f t="shared" si="51"/>
        <v>1</v>
      </c>
      <c r="J531">
        <f t="shared" si="52"/>
        <v>1</v>
      </c>
      <c r="K531" s="14">
        <f t="shared" si="53"/>
        <v>5</v>
      </c>
      <c r="L531" t="str">
        <f t="shared" si="54"/>
        <v>Standard One-Time Buyers</v>
      </c>
    </row>
    <row r="532" spans="1:12" x14ac:dyDescent="0.3">
      <c r="A532" s="12" t="s">
        <v>3735</v>
      </c>
      <c r="B532" s="14" t="str">
        <f>INDEX(orders!$F:$F,MATCH(A532,orders!$C:$C,0))</f>
        <v>Maggy Harby</v>
      </c>
      <c r="C532" s="15">
        <f>_xlfn.MAXIFS(orders!$B:$B,orders!$C:$C,A532)</f>
        <v>44697</v>
      </c>
      <c r="D532" s="14">
        <f t="shared" si="49"/>
        <v>96</v>
      </c>
      <c r="E532" s="14">
        <f>COUNTIFS(orders!$C:$C,A532)</f>
        <v>1</v>
      </c>
      <c r="F532" s="16">
        <f>SUMIFS(orders!$M:$M,orders!$C:$C,A532)</f>
        <v>21.509999999999998</v>
      </c>
      <c r="G532" s="14" t="str">
        <f>INDEX(orders!$P:$P,MATCH(A532,orders!$C:$C,0))</f>
        <v>Yes</v>
      </c>
      <c r="H532" s="17">
        <f t="shared" si="50"/>
        <v>5</v>
      </c>
      <c r="I532" s="14">
        <f t="shared" si="51"/>
        <v>1</v>
      </c>
      <c r="J532">
        <f t="shared" si="52"/>
        <v>2</v>
      </c>
      <c r="K532" s="14">
        <f t="shared" si="53"/>
        <v>8</v>
      </c>
      <c r="L532" t="str">
        <f t="shared" si="54"/>
        <v>Standard One-Time Buyers</v>
      </c>
    </row>
    <row r="533" spans="1:12" x14ac:dyDescent="0.3">
      <c r="A533" s="12" t="s">
        <v>2560</v>
      </c>
      <c r="B533" s="14" t="str">
        <f>INDEX(orders!$F:$F,MATCH(A533,orders!$C:$C,0))</f>
        <v>Silvio Iorizzi</v>
      </c>
      <c r="C533" s="15">
        <f>_xlfn.MAXIFS(orders!$B:$B,orders!$C:$C,A533)</f>
        <v>44393</v>
      </c>
      <c r="D533" s="14">
        <f t="shared" si="49"/>
        <v>400</v>
      </c>
      <c r="E533" s="14">
        <f>COUNTIFS(orders!$C:$C,A533)</f>
        <v>1</v>
      </c>
      <c r="F533" s="16">
        <f>SUMIFS(orders!$M:$M,orders!$C:$C,A533)</f>
        <v>8.73</v>
      </c>
      <c r="G533" s="14" t="str">
        <f>INDEX(orders!$P:$P,MATCH(A533,orders!$C:$C,0))</f>
        <v>Yes</v>
      </c>
      <c r="H533" s="17">
        <f t="shared" si="50"/>
        <v>4</v>
      </c>
      <c r="I533" s="14">
        <f t="shared" si="51"/>
        <v>1</v>
      </c>
      <c r="J533">
        <f t="shared" si="52"/>
        <v>1</v>
      </c>
      <c r="K533" s="14">
        <f t="shared" si="53"/>
        <v>6</v>
      </c>
      <c r="L533" t="str">
        <f t="shared" si="54"/>
        <v>Standard One-Time Buyers</v>
      </c>
    </row>
    <row r="534" spans="1:12" x14ac:dyDescent="0.3">
      <c r="A534" s="12" t="s">
        <v>3649</v>
      </c>
      <c r="B534" s="14" t="str">
        <f>INDEX(orders!$F:$F,MATCH(A534,orders!$C:$C,0))</f>
        <v>Reamonn Aynold</v>
      </c>
      <c r="C534" s="15">
        <f>_xlfn.MAXIFS(orders!$B:$B,orders!$C:$C,A534)</f>
        <v>44667</v>
      </c>
      <c r="D534" s="14">
        <f t="shared" si="49"/>
        <v>126</v>
      </c>
      <c r="E534" s="14">
        <f>COUNTIFS(orders!$C:$C,A534)</f>
        <v>1</v>
      </c>
      <c r="F534" s="16">
        <f>SUMIFS(orders!$M:$M,orders!$C:$C,A534)</f>
        <v>38.849999999999994</v>
      </c>
      <c r="G534" s="14" t="str">
        <f>INDEX(orders!$P:$P,MATCH(A534,orders!$C:$C,0))</f>
        <v>Yes</v>
      </c>
      <c r="H534" s="17">
        <f t="shared" si="50"/>
        <v>5</v>
      </c>
      <c r="I534" s="14">
        <f t="shared" si="51"/>
        <v>1</v>
      </c>
      <c r="J534">
        <f t="shared" si="52"/>
        <v>3</v>
      </c>
      <c r="K534" s="14">
        <f t="shared" si="53"/>
        <v>9</v>
      </c>
      <c r="L534" t="str">
        <f t="shared" si="54"/>
        <v>Standard One-Time Buyers</v>
      </c>
    </row>
    <row r="535" spans="1:12" x14ac:dyDescent="0.3">
      <c r="A535" s="12" t="s">
        <v>2539</v>
      </c>
      <c r="B535" s="14" t="str">
        <f>INDEX(orders!$F:$F,MATCH(A535,orders!$C:$C,0))</f>
        <v>Kaja Loxton</v>
      </c>
      <c r="C535" s="15">
        <f>_xlfn.MAXIFS(orders!$B:$B,orders!$C:$C,A535)</f>
        <v>44282</v>
      </c>
      <c r="D535" s="14">
        <f t="shared" si="49"/>
        <v>511</v>
      </c>
      <c r="E535" s="14">
        <f>COUNTIFS(orders!$C:$C,A535)</f>
        <v>1</v>
      </c>
      <c r="F535" s="16">
        <f>SUMIFS(orders!$M:$M,orders!$C:$C,A535)</f>
        <v>87.300000000000011</v>
      </c>
      <c r="G535" s="14" t="str">
        <f>INDEX(orders!$P:$P,MATCH(A535,orders!$C:$C,0))</f>
        <v>No</v>
      </c>
      <c r="H535" s="17">
        <f t="shared" si="50"/>
        <v>3</v>
      </c>
      <c r="I535" s="14">
        <f t="shared" si="51"/>
        <v>1</v>
      </c>
      <c r="J535">
        <f t="shared" si="52"/>
        <v>5</v>
      </c>
      <c r="K535" s="14">
        <f t="shared" si="53"/>
        <v>9</v>
      </c>
      <c r="L535" t="str">
        <f t="shared" si="54"/>
        <v>Standard One-Time Buyers</v>
      </c>
    </row>
    <row r="536" spans="1:12" x14ac:dyDescent="0.3">
      <c r="A536" s="12" t="s">
        <v>1426</v>
      </c>
      <c r="B536" s="14" t="str">
        <f>INDEX(orders!$F:$F,MATCH(A536,orders!$C:$C,0))</f>
        <v>Sherman Mewrcik</v>
      </c>
      <c r="C536" s="15">
        <f>_xlfn.MAXIFS(orders!$B:$B,orders!$C:$C,A536)</f>
        <v>44270</v>
      </c>
      <c r="D536" s="14">
        <f t="shared" si="49"/>
        <v>523</v>
      </c>
      <c r="E536" s="14">
        <f>COUNTIFS(orders!$C:$C,A536)</f>
        <v>1</v>
      </c>
      <c r="F536" s="16">
        <f>SUMIFS(orders!$M:$M,orders!$C:$C,A536)</f>
        <v>26.849999999999994</v>
      </c>
      <c r="G536" s="14" t="str">
        <f>INDEX(orders!$P:$P,MATCH(A536,orders!$C:$C,0))</f>
        <v>Yes</v>
      </c>
      <c r="H536" s="17">
        <f t="shared" si="50"/>
        <v>3</v>
      </c>
      <c r="I536" s="14">
        <f t="shared" si="51"/>
        <v>1</v>
      </c>
      <c r="J536">
        <f t="shared" si="52"/>
        <v>3</v>
      </c>
      <c r="K536" s="14">
        <f t="shared" si="53"/>
        <v>7</v>
      </c>
      <c r="L536" t="str">
        <f t="shared" si="54"/>
        <v>Standard One-Time Buyers</v>
      </c>
    </row>
    <row r="537" spans="1:12" x14ac:dyDescent="0.3">
      <c r="A537" s="12" t="s">
        <v>2580</v>
      </c>
      <c r="B537" s="14" t="str">
        <f>INDEX(orders!$F:$F,MATCH(A537,orders!$C:$C,0))</f>
        <v>Cortney Gibbonson</v>
      </c>
      <c r="C537" s="15">
        <f>_xlfn.MAXIFS(orders!$B:$B,orders!$C:$C,A537)</f>
        <v>44705</v>
      </c>
      <c r="D537" s="14">
        <f t="shared" si="49"/>
        <v>88</v>
      </c>
      <c r="E537" s="14">
        <f>COUNTIFS(orders!$C:$C,A537)</f>
        <v>1</v>
      </c>
      <c r="F537" s="16">
        <f>SUMIFS(orders!$M:$M,orders!$C:$C,A537)</f>
        <v>46.62</v>
      </c>
      <c r="G537" s="14" t="str">
        <f>INDEX(orders!$P:$P,MATCH(A537,orders!$C:$C,0))</f>
        <v>Yes</v>
      </c>
      <c r="H537" s="17">
        <f t="shared" si="50"/>
        <v>5</v>
      </c>
      <c r="I537" s="14">
        <f t="shared" si="51"/>
        <v>1</v>
      </c>
      <c r="J537">
        <f t="shared" si="52"/>
        <v>4</v>
      </c>
      <c r="K537" s="14">
        <f t="shared" si="53"/>
        <v>10</v>
      </c>
      <c r="L537" t="str">
        <f t="shared" si="54"/>
        <v>Recent High-Value (One-Time)</v>
      </c>
    </row>
    <row r="538" spans="1:12" x14ac:dyDescent="0.3">
      <c r="A538" s="12" t="s">
        <v>1368</v>
      </c>
      <c r="B538" s="14" t="str">
        <f>INDEX(orders!$F:$F,MATCH(A538,orders!$C:$C,0))</f>
        <v>Fielding Keinrat</v>
      </c>
      <c r="C538" s="15">
        <f>_xlfn.MAXIFS(orders!$B:$B,orders!$C:$C,A538)</f>
        <v>43764</v>
      </c>
      <c r="D538" s="14">
        <f t="shared" si="49"/>
        <v>1029</v>
      </c>
      <c r="E538" s="14">
        <f>COUNTIFS(orders!$C:$C,A538)</f>
        <v>1</v>
      </c>
      <c r="F538" s="16">
        <f>SUMIFS(orders!$M:$M,orders!$C:$C,A538)</f>
        <v>77.624999999999986</v>
      </c>
      <c r="G538" s="14" t="str">
        <f>INDEX(orders!$P:$P,MATCH(A538,orders!$C:$C,0))</f>
        <v>Yes</v>
      </c>
      <c r="H538" s="17">
        <f t="shared" si="50"/>
        <v>2</v>
      </c>
      <c r="I538" s="14">
        <f t="shared" si="51"/>
        <v>1</v>
      </c>
      <c r="J538">
        <f t="shared" si="52"/>
        <v>4</v>
      </c>
      <c r="K538" s="14">
        <f t="shared" si="53"/>
        <v>7</v>
      </c>
      <c r="L538" t="str">
        <f t="shared" si="54"/>
        <v>Lapsed One-Time Buyers</v>
      </c>
    </row>
    <row r="539" spans="1:12" x14ac:dyDescent="0.3">
      <c r="A539" s="12" t="s">
        <v>2717</v>
      </c>
      <c r="B539" s="14" t="str">
        <f>INDEX(orders!$F:$F,MATCH(A539,orders!$C:$C,0))</f>
        <v>Gregorius Kislingbury</v>
      </c>
      <c r="C539" s="15">
        <f>_xlfn.MAXIFS(orders!$B:$B,orders!$C:$C,A539)</f>
        <v>44465</v>
      </c>
      <c r="D539" s="14">
        <f t="shared" si="49"/>
        <v>328</v>
      </c>
      <c r="E539" s="14">
        <f>COUNTIFS(orders!$C:$C,A539)</f>
        <v>1</v>
      </c>
      <c r="F539" s="16">
        <f>SUMIFS(orders!$M:$M,orders!$C:$C,A539)</f>
        <v>46.62</v>
      </c>
      <c r="G539" s="14" t="str">
        <f>INDEX(orders!$P:$P,MATCH(A539,orders!$C:$C,0))</f>
        <v>Yes</v>
      </c>
      <c r="H539" s="17">
        <f t="shared" si="50"/>
        <v>4</v>
      </c>
      <c r="I539" s="14">
        <f t="shared" si="51"/>
        <v>1</v>
      </c>
      <c r="J539">
        <f t="shared" si="52"/>
        <v>4</v>
      </c>
      <c r="K539" s="14">
        <f t="shared" si="53"/>
        <v>9</v>
      </c>
      <c r="L539" t="str">
        <f t="shared" si="54"/>
        <v>Recent High-Value (One-Time)</v>
      </c>
    </row>
    <row r="540" spans="1:12" x14ac:dyDescent="0.3">
      <c r="A540" s="12" t="s">
        <v>5279</v>
      </c>
      <c r="B540" s="14" t="str">
        <f>INDEX(orders!$F:$F,MATCH(A540,orders!$C:$C,0))</f>
        <v>Mordy Van Der Vlies</v>
      </c>
      <c r="C540" s="15">
        <f>_xlfn.MAXIFS(orders!$B:$B,orders!$C:$C,A540)</f>
        <v>44460</v>
      </c>
      <c r="D540" s="14">
        <f t="shared" si="49"/>
        <v>333</v>
      </c>
      <c r="E540" s="14">
        <f>COUNTIFS(orders!$C:$C,A540)</f>
        <v>1</v>
      </c>
      <c r="F540" s="16">
        <f>SUMIFS(orders!$M:$M,orders!$C:$C,A540)</f>
        <v>8.9550000000000001</v>
      </c>
      <c r="G540" s="14" t="str">
        <f>INDEX(orders!$P:$P,MATCH(A540,orders!$C:$C,0))</f>
        <v>Yes</v>
      </c>
      <c r="H540" s="17">
        <f t="shared" si="50"/>
        <v>4</v>
      </c>
      <c r="I540" s="14">
        <f t="shared" si="51"/>
        <v>1</v>
      </c>
      <c r="J540">
        <f t="shared" si="52"/>
        <v>1</v>
      </c>
      <c r="K540" s="14">
        <f t="shared" si="53"/>
        <v>6</v>
      </c>
      <c r="L540" t="str">
        <f t="shared" si="54"/>
        <v>Standard One-Time Buyers</v>
      </c>
    </row>
    <row r="541" spans="1:12" x14ac:dyDescent="0.3">
      <c r="A541" s="12" t="s">
        <v>2170</v>
      </c>
      <c r="B541" s="14" t="str">
        <f>INDEX(orders!$F:$F,MATCH(A541,orders!$C:$C,0))</f>
        <v>Ken Lestrange</v>
      </c>
      <c r="C541" s="15">
        <f>_xlfn.MAXIFS(orders!$B:$B,orders!$C:$C,A541)</f>
        <v>43872</v>
      </c>
      <c r="D541" s="14">
        <f t="shared" si="49"/>
        <v>921</v>
      </c>
      <c r="E541" s="14">
        <f>COUNTIFS(orders!$C:$C,A541)</f>
        <v>1</v>
      </c>
      <c r="F541" s="16">
        <f>SUMIFS(orders!$M:$M,orders!$C:$C,A541)</f>
        <v>26.73</v>
      </c>
      <c r="G541" s="14" t="str">
        <f>INDEX(orders!$P:$P,MATCH(A541,orders!$C:$C,0))</f>
        <v>Yes</v>
      </c>
      <c r="H541" s="17">
        <f t="shared" si="50"/>
        <v>2</v>
      </c>
      <c r="I541" s="14">
        <f t="shared" si="51"/>
        <v>1</v>
      </c>
      <c r="J541">
        <f t="shared" si="52"/>
        <v>3</v>
      </c>
      <c r="K541" s="14">
        <f t="shared" si="53"/>
        <v>6</v>
      </c>
      <c r="L541" t="str">
        <f t="shared" si="54"/>
        <v>Lapsed One-Time Buyers</v>
      </c>
    </row>
    <row r="542" spans="1:12" x14ac:dyDescent="0.3">
      <c r="A542" s="12" t="s">
        <v>5177</v>
      </c>
      <c r="B542" s="14" t="str">
        <f>INDEX(orders!$F:$F,MATCH(A542,orders!$C:$C,0))</f>
        <v>Hillel Mairs</v>
      </c>
      <c r="C542" s="15">
        <f>_xlfn.MAXIFS(orders!$B:$B,orders!$C:$C,A542)</f>
        <v>43890</v>
      </c>
      <c r="D542" s="14">
        <f t="shared" si="49"/>
        <v>903</v>
      </c>
      <c r="E542" s="14">
        <f>COUNTIFS(orders!$C:$C,A542)</f>
        <v>1</v>
      </c>
      <c r="F542" s="16">
        <f>SUMIFS(orders!$M:$M,orders!$C:$C,A542)</f>
        <v>2.9849999999999999</v>
      </c>
      <c r="G542" s="14" t="str">
        <f>INDEX(orders!$P:$P,MATCH(A542,orders!$C:$C,0))</f>
        <v>No</v>
      </c>
      <c r="H542" s="17">
        <f t="shared" si="50"/>
        <v>2</v>
      </c>
      <c r="I542" s="14">
        <f t="shared" si="51"/>
        <v>1</v>
      </c>
      <c r="J542">
        <f t="shared" si="52"/>
        <v>1</v>
      </c>
      <c r="K542" s="14">
        <f t="shared" si="53"/>
        <v>4</v>
      </c>
      <c r="L542" t="str">
        <f t="shared" si="54"/>
        <v>Lapsed One-Time Buyers</v>
      </c>
    </row>
    <row r="543" spans="1:12" x14ac:dyDescent="0.3">
      <c r="A543" s="12" t="s">
        <v>3016</v>
      </c>
      <c r="B543" s="14" t="str">
        <f>INDEX(orders!$F:$F,MATCH(A543,orders!$C:$C,0))</f>
        <v>Pru Durban</v>
      </c>
      <c r="C543" s="15">
        <f>_xlfn.MAXIFS(orders!$B:$B,orders!$C:$C,A543)</f>
        <v>44718</v>
      </c>
      <c r="D543" s="14">
        <f t="shared" si="49"/>
        <v>75</v>
      </c>
      <c r="E543" s="14">
        <f>COUNTIFS(orders!$C:$C,A543)</f>
        <v>1</v>
      </c>
      <c r="F543" s="16">
        <f>SUMIFS(orders!$M:$M,orders!$C:$C,A543)</f>
        <v>7.169999999999999</v>
      </c>
      <c r="G543" s="14" t="str">
        <f>INDEX(orders!$P:$P,MATCH(A543,orders!$C:$C,0))</f>
        <v>No</v>
      </c>
      <c r="H543" s="17">
        <f t="shared" si="50"/>
        <v>5</v>
      </c>
      <c r="I543" s="14">
        <f t="shared" si="51"/>
        <v>1</v>
      </c>
      <c r="J543">
        <f t="shared" si="52"/>
        <v>1</v>
      </c>
      <c r="K543" s="14">
        <f t="shared" si="53"/>
        <v>7</v>
      </c>
      <c r="L543" t="str">
        <f t="shared" si="54"/>
        <v>Standard One-Time Buyers</v>
      </c>
    </row>
    <row r="544" spans="1:12" x14ac:dyDescent="0.3">
      <c r="A544" s="12" t="s">
        <v>4570</v>
      </c>
      <c r="B544" s="14" t="str">
        <f>INDEX(orders!$F:$F,MATCH(A544,orders!$C:$C,0))</f>
        <v>Hetti Measures</v>
      </c>
      <c r="C544" s="15">
        <f>_xlfn.MAXIFS(orders!$B:$B,orders!$C:$C,A544)</f>
        <v>44620</v>
      </c>
      <c r="D544" s="14">
        <f t="shared" si="49"/>
        <v>173</v>
      </c>
      <c r="E544" s="14">
        <f>COUNTIFS(orders!$C:$C,A544)</f>
        <v>1</v>
      </c>
      <c r="F544" s="16">
        <f>SUMIFS(orders!$M:$M,orders!$C:$C,A544)</f>
        <v>24.3</v>
      </c>
      <c r="G544" s="14" t="str">
        <f>INDEX(orders!$P:$P,MATCH(A544,orders!$C:$C,0))</f>
        <v>No</v>
      </c>
      <c r="H544" s="17">
        <f t="shared" si="50"/>
        <v>5</v>
      </c>
      <c r="I544" s="14">
        <f t="shared" si="51"/>
        <v>1</v>
      </c>
      <c r="J544">
        <f t="shared" si="52"/>
        <v>2</v>
      </c>
      <c r="K544" s="14">
        <f t="shared" si="53"/>
        <v>8</v>
      </c>
      <c r="L544" t="str">
        <f t="shared" si="54"/>
        <v>Standard One-Time Buyers</v>
      </c>
    </row>
    <row r="545" spans="1:12" x14ac:dyDescent="0.3">
      <c r="A545" s="12" t="s">
        <v>3295</v>
      </c>
      <c r="B545" s="14" t="str">
        <f>INDEX(orders!$F:$F,MATCH(A545,orders!$C:$C,0))</f>
        <v>Hamlen Pallister</v>
      </c>
      <c r="C545" s="15">
        <f>_xlfn.MAXIFS(orders!$B:$B,orders!$C:$C,A545)</f>
        <v>44438</v>
      </c>
      <c r="D545" s="14">
        <f t="shared" si="49"/>
        <v>355</v>
      </c>
      <c r="E545" s="14">
        <f>COUNTIFS(orders!$C:$C,A545)</f>
        <v>1</v>
      </c>
      <c r="F545" s="16">
        <f>SUMIFS(orders!$M:$M,orders!$C:$C,A545)</f>
        <v>10.935</v>
      </c>
      <c r="G545" s="14" t="str">
        <f>INDEX(orders!$P:$P,MATCH(A545,orders!$C:$C,0))</f>
        <v>No</v>
      </c>
      <c r="H545" s="17">
        <f t="shared" si="50"/>
        <v>4</v>
      </c>
      <c r="I545" s="14">
        <f t="shared" si="51"/>
        <v>1</v>
      </c>
      <c r="J545">
        <f t="shared" si="52"/>
        <v>1</v>
      </c>
      <c r="K545" s="14">
        <f t="shared" si="53"/>
        <v>6</v>
      </c>
      <c r="L545" t="str">
        <f t="shared" si="54"/>
        <v>Standard One-Time Buyers</v>
      </c>
    </row>
    <row r="546" spans="1:12" x14ac:dyDescent="0.3">
      <c r="A546" s="12" t="s">
        <v>4087</v>
      </c>
      <c r="B546" s="14" t="str">
        <f>INDEX(orders!$F:$F,MATCH(A546,orders!$C:$C,0))</f>
        <v>Benedikta Paumier</v>
      </c>
      <c r="C546" s="15">
        <f>_xlfn.MAXIFS(orders!$B:$B,orders!$C:$C,A546)</f>
        <v>43889</v>
      </c>
      <c r="D546" s="14">
        <f t="shared" si="49"/>
        <v>904</v>
      </c>
      <c r="E546" s="14">
        <f>COUNTIFS(orders!$C:$C,A546)</f>
        <v>1</v>
      </c>
      <c r="F546" s="16">
        <f>SUMIFS(orders!$M:$M,orders!$C:$C,A546)</f>
        <v>31.624999999999996</v>
      </c>
      <c r="G546" s="14" t="str">
        <f>INDEX(orders!$P:$P,MATCH(A546,orders!$C:$C,0))</f>
        <v>Yes</v>
      </c>
      <c r="H546" s="17">
        <f t="shared" si="50"/>
        <v>2</v>
      </c>
      <c r="I546" s="14">
        <f t="shared" si="51"/>
        <v>1</v>
      </c>
      <c r="J546">
        <f t="shared" si="52"/>
        <v>3</v>
      </c>
      <c r="K546" s="14">
        <f t="shared" si="53"/>
        <v>6</v>
      </c>
      <c r="L546" t="str">
        <f t="shared" si="54"/>
        <v>Lapsed One-Time Buyers</v>
      </c>
    </row>
    <row r="547" spans="1:12" x14ac:dyDescent="0.3">
      <c r="A547" s="12" t="s">
        <v>1306</v>
      </c>
      <c r="B547" s="14" t="str">
        <f>INDEX(orders!$F:$F,MATCH(A547,orders!$C:$C,0))</f>
        <v>Osmund Clausen-Thue</v>
      </c>
      <c r="C547" s="15">
        <f>_xlfn.MAXIFS(orders!$B:$B,orders!$C:$C,A547)</f>
        <v>43562</v>
      </c>
      <c r="D547" s="14">
        <f t="shared" si="49"/>
        <v>1231</v>
      </c>
      <c r="E547" s="14">
        <f>COUNTIFS(orders!$C:$C,A547)</f>
        <v>1</v>
      </c>
      <c r="F547" s="16">
        <f>SUMIFS(orders!$M:$M,orders!$C:$C,A547)</f>
        <v>17.46</v>
      </c>
      <c r="G547" s="14" t="str">
        <f>INDEX(orders!$P:$P,MATCH(A547,orders!$C:$C,0))</f>
        <v>No</v>
      </c>
      <c r="H547" s="17">
        <f t="shared" si="50"/>
        <v>1</v>
      </c>
      <c r="I547" s="14">
        <f t="shared" si="51"/>
        <v>1</v>
      </c>
      <c r="J547">
        <f t="shared" si="52"/>
        <v>2</v>
      </c>
      <c r="K547" s="14">
        <f t="shared" si="53"/>
        <v>4</v>
      </c>
      <c r="L547" t="str">
        <f t="shared" si="54"/>
        <v>Lapsed One-Time Buyers</v>
      </c>
    </row>
    <row r="548" spans="1:12" x14ac:dyDescent="0.3">
      <c r="A548" s="12" t="s">
        <v>3028</v>
      </c>
      <c r="B548" s="14" t="str">
        <f>INDEX(orders!$F:$F,MATCH(A548,orders!$C:$C,0))</f>
        <v>Sim Pamphilon</v>
      </c>
      <c r="C548" s="15">
        <f>_xlfn.MAXIFS(orders!$B:$B,orders!$C:$C,A548)</f>
        <v>44207</v>
      </c>
      <c r="D548" s="14">
        <f t="shared" si="49"/>
        <v>586</v>
      </c>
      <c r="E548" s="14">
        <f>COUNTIFS(orders!$C:$C,A548)</f>
        <v>1</v>
      </c>
      <c r="F548" s="16">
        <f>SUMIFS(orders!$M:$M,orders!$C:$C,A548)</f>
        <v>23.774999999999999</v>
      </c>
      <c r="G548" s="14" t="str">
        <f>INDEX(orders!$P:$P,MATCH(A548,orders!$C:$C,0))</f>
        <v>No</v>
      </c>
      <c r="H548" s="17">
        <f t="shared" si="50"/>
        <v>3</v>
      </c>
      <c r="I548" s="14">
        <f t="shared" si="51"/>
        <v>1</v>
      </c>
      <c r="J548">
        <f t="shared" si="52"/>
        <v>2</v>
      </c>
      <c r="K548" s="14">
        <f t="shared" si="53"/>
        <v>6</v>
      </c>
      <c r="L548" t="str">
        <f t="shared" si="54"/>
        <v>Standard One-Time Buyers</v>
      </c>
    </row>
    <row r="549" spans="1:12" x14ac:dyDescent="0.3">
      <c r="A549" s="12" t="s">
        <v>2570</v>
      </c>
      <c r="B549" s="14" t="str">
        <f>INDEX(orders!$F:$F,MATCH(A549,orders!$C:$C,0))</f>
        <v>Abba Pummell</v>
      </c>
      <c r="C549" s="15">
        <f>_xlfn.MAXIFS(orders!$B:$B,orders!$C:$C,A549)</f>
        <v>43500</v>
      </c>
      <c r="D549" s="14">
        <f t="shared" si="49"/>
        <v>1293</v>
      </c>
      <c r="E549" s="14">
        <f>COUNTIFS(orders!$C:$C,A549)</f>
        <v>1</v>
      </c>
      <c r="F549" s="16">
        <f>SUMIFS(orders!$M:$M,orders!$C:$C,A549)</f>
        <v>8.91</v>
      </c>
      <c r="G549" s="14" t="str">
        <f>INDEX(orders!$P:$P,MATCH(A549,orders!$C:$C,0))</f>
        <v>Yes</v>
      </c>
      <c r="H549" s="17">
        <f t="shared" si="50"/>
        <v>1</v>
      </c>
      <c r="I549" s="14">
        <f t="shared" si="51"/>
        <v>1</v>
      </c>
      <c r="J549">
        <f t="shared" si="52"/>
        <v>1</v>
      </c>
      <c r="K549" s="14">
        <f t="shared" si="53"/>
        <v>3</v>
      </c>
      <c r="L549" t="str">
        <f t="shared" si="54"/>
        <v>Lapsed One-Time Buyers</v>
      </c>
    </row>
    <row r="550" spans="1:12" x14ac:dyDescent="0.3">
      <c r="A550" s="12" t="s">
        <v>2700</v>
      </c>
      <c r="B550" s="14" t="str">
        <f>INDEX(orders!$F:$F,MATCH(A550,orders!$C:$C,0))</f>
        <v>Anson Iddison</v>
      </c>
      <c r="C550" s="15">
        <f>_xlfn.MAXIFS(orders!$B:$B,orders!$C:$C,A550)</f>
        <v>44445</v>
      </c>
      <c r="D550" s="14">
        <f t="shared" si="49"/>
        <v>348</v>
      </c>
      <c r="E550" s="14">
        <f>COUNTIFS(orders!$C:$C,A550)</f>
        <v>2</v>
      </c>
      <c r="F550" s="16">
        <f>SUMIFS(orders!$M:$M,orders!$C:$C,A550)</f>
        <v>92.984999999999999</v>
      </c>
      <c r="G550" s="14" t="str">
        <f>INDEX(orders!$P:$P,MATCH(A550,orders!$C:$C,0))</f>
        <v>No</v>
      </c>
      <c r="H550" s="17">
        <f t="shared" si="50"/>
        <v>4</v>
      </c>
      <c r="I550" s="14">
        <f t="shared" si="51"/>
        <v>3</v>
      </c>
      <c r="J550">
        <f t="shared" si="52"/>
        <v>5</v>
      </c>
      <c r="K550" s="14">
        <f t="shared" si="53"/>
        <v>12</v>
      </c>
      <c r="L550" t="str">
        <f t="shared" si="54"/>
        <v>Loyal Repeat Customers</v>
      </c>
    </row>
    <row r="551" spans="1:12" x14ac:dyDescent="0.3">
      <c r="A551" s="12" t="s">
        <v>542</v>
      </c>
      <c r="B551" s="14" t="str">
        <f>INDEX(orders!$F:$F,MATCH(A551,orders!$C:$C,0))</f>
        <v>Rodger Raven</v>
      </c>
      <c r="C551" s="15">
        <f>_xlfn.MAXIFS(orders!$B:$B,orders!$C:$C,A551)</f>
        <v>43713</v>
      </c>
      <c r="D551" s="14">
        <f t="shared" si="49"/>
        <v>1080</v>
      </c>
      <c r="E551" s="14">
        <f>COUNTIFS(orders!$C:$C,A551)</f>
        <v>1</v>
      </c>
      <c r="F551" s="16">
        <f>SUMIFS(orders!$M:$M,orders!$C:$C,A551)</f>
        <v>5.97</v>
      </c>
      <c r="G551" s="14" t="str">
        <f>INDEX(orders!$P:$P,MATCH(A551,orders!$C:$C,0))</f>
        <v>No</v>
      </c>
      <c r="H551" s="17">
        <f t="shared" si="50"/>
        <v>1</v>
      </c>
      <c r="I551" s="14">
        <f t="shared" si="51"/>
        <v>1</v>
      </c>
      <c r="J551">
        <f t="shared" si="52"/>
        <v>1</v>
      </c>
      <c r="K551" s="14">
        <f t="shared" si="53"/>
        <v>3</v>
      </c>
      <c r="L551" t="str">
        <f t="shared" si="54"/>
        <v>Lapsed One-Time Buyers</v>
      </c>
    </row>
    <row r="552" spans="1:12" x14ac:dyDescent="0.3">
      <c r="A552" s="12" t="s">
        <v>4962</v>
      </c>
      <c r="B552" s="14" t="str">
        <f>INDEX(orders!$F:$F,MATCH(A552,orders!$C:$C,0))</f>
        <v>Karylin Huddart</v>
      </c>
      <c r="C552" s="15">
        <f>_xlfn.MAXIFS(orders!$B:$B,orders!$C:$C,A552)</f>
        <v>43954</v>
      </c>
      <c r="D552" s="14">
        <f t="shared" si="49"/>
        <v>839</v>
      </c>
      <c r="E552" s="14">
        <f>COUNTIFS(orders!$C:$C,A552)</f>
        <v>1</v>
      </c>
      <c r="F552" s="16">
        <f>SUMIFS(orders!$M:$M,orders!$C:$C,A552)</f>
        <v>23.774999999999999</v>
      </c>
      <c r="G552" s="14" t="str">
        <f>INDEX(orders!$P:$P,MATCH(A552,orders!$C:$C,0))</f>
        <v>Yes</v>
      </c>
      <c r="H552" s="17">
        <f t="shared" si="50"/>
        <v>2</v>
      </c>
      <c r="I552" s="14">
        <f t="shared" si="51"/>
        <v>1</v>
      </c>
      <c r="J552">
        <f t="shared" si="52"/>
        <v>2</v>
      </c>
      <c r="K552" s="14">
        <f t="shared" si="53"/>
        <v>5</v>
      </c>
      <c r="L552" t="str">
        <f t="shared" si="54"/>
        <v>Lapsed One-Time Buyers</v>
      </c>
    </row>
    <row r="553" spans="1:12" x14ac:dyDescent="0.3">
      <c r="A553" s="12" t="s">
        <v>2728</v>
      </c>
      <c r="B553" s="14" t="str">
        <f>INDEX(orders!$F:$F,MATCH(A553,orders!$C:$C,0))</f>
        <v>Fleur Parres</v>
      </c>
      <c r="C553" s="15">
        <f>_xlfn.MAXIFS(orders!$B:$B,orders!$C:$C,A553)</f>
        <v>43720</v>
      </c>
      <c r="D553" s="14">
        <f t="shared" si="49"/>
        <v>1073</v>
      </c>
      <c r="E553" s="14">
        <f>COUNTIFS(orders!$C:$C,A553)</f>
        <v>1</v>
      </c>
      <c r="F553" s="16">
        <f>SUMIFS(orders!$M:$M,orders!$C:$C,A553)</f>
        <v>31.08</v>
      </c>
      <c r="G553" s="14" t="str">
        <f>INDEX(orders!$P:$P,MATCH(A553,orders!$C:$C,0))</f>
        <v>Yes</v>
      </c>
      <c r="H553" s="17">
        <f t="shared" si="50"/>
        <v>1</v>
      </c>
      <c r="I553" s="14">
        <f t="shared" si="51"/>
        <v>1</v>
      </c>
      <c r="J553">
        <f t="shared" si="52"/>
        <v>3</v>
      </c>
      <c r="K553" s="14">
        <f t="shared" si="53"/>
        <v>5</v>
      </c>
      <c r="L553" t="str">
        <f t="shared" si="54"/>
        <v>Lapsed One-Time Buyers</v>
      </c>
    </row>
    <row r="554" spans="1:12" x14ac:dyDescent="0.3">
      <c r="A554" s="12" t="s">
        <v>4349</v>
      </c>
      <c r="B554" s="14" t="str">
        <f>INDEX(orders!$F:$F,MATCH(A554,orders!$C:$C,0))</f>
        <v>Theo Jacobovitz</v>
      </c>
      <c r="C554" s="15">
        <f>_xlfn.MAXIFS(orders!$B:$B,orders!$C:$C,A554)</f>
        <v>43941</v>
      </c>
      <c r="D554" s="14">
        <f t="shared" si="49"/>
        <v>852</v>
      </c>
      <c r="E554" s="14">
        <f>COUNTIFS(orders!$C:$C,A554)</f>
        <v>1</v>
      </c>
      <c r="F554" s="16">
        <f>SUMIFS(orders!$M:$M,orders!$C:$C,A554)</f>
        <v>46.62</v>
      </c>
      <c r="G554" s="14" t="str">
        <f>INDEX(orders!$P:$P,MATCH(A554,orders!$C:$C,0))</f>
        <v>No</v>
      </c>
      <c r="H554" s="17">
        <f t="shared" si="50"/>
        <v>2</v>
      </c>
      <c r="I554" s="14">
        <f t="shared" si="51"/>
        <v>1</v>
      </c>
      <c r="J554">
        <f t="shared" si="52"/>
        <v>4</v>
      </c>
      <c r="K554" s="14">
        <f t="shared" si="53"/>
        <v>7</v>
      </c>
      <c r="L554" t="str">
        <f t="shared" si="54"/>
        <v>Lapsed One-Time Buyers</v>
      </c>
    </row>
    <row r="555" spans="1:12" x14ac:dyDescent="0.3">
      <c r="A555" s="12" t="s">
        <v>4457</v>
      </c>
      <c r="B555" s="14" t="str">
        <f>INDEX(orders!$F:$F,MATCH(A555,orders!$C:$C,0))</f>
        <v>Vivyan Dunning</v>
      </c>
      <c r="C555" s="15">
        <f>_xlfn.MAXIFS(orders!$B:$B,orders!$C:$C,A555)</f>
        <v>43661</v>
      </c>
      <c r="D555" s="14">
        <f t="shared" si="49"/>
        <v>1132</v>
      </c>
      <c r="E555" s="14">
        <f>COUNTIFS(orders!$C:$C,A555)</f>
        <v>1</v>
      </c>
      <c r="F555" s="16">
        <f>SUMIFS(orders!$M:$M,orders!$C:$C,A555)</f>
        <v>7.77</v>
      </c>
      <c r="G555" s="14" t="str">
        <f>INDEX(orders!$P:$P,MATCH(A555,orders!$C:$C,0))</f>
        <v>Yes</v>
      </c>
      <c r="H555" s="17">
        <f t="shared" si="50"/>
        <v>1</v>
      </c>
      <c r="I555" s="14">
        <f t="shared" si="51"/>
        <v>1</v>
      </c>
      <c r="J555">
        <f t="shared" si="52"/>
        <v>1</v>
      </c>
      <c r="K555" s="14">
        <f t="shared" si="53"/>
        <v>3</v>
      </c>
      <c r="L555" t="str">
        <f t="shared" si="54"/>
        <v>Lapsed One-Time Buyers</v>
      </c>
    </row>
    <row r="556" spans="1:12" x14ac:dyDescent="0.3">
      <c r="A556" s="12" t="s">
        <v>1175</v>
      </c>
      <c r="B556" s="14" t="str">
        <f>INDEX(orders!$F:$F,MATCH(A556,orders!$C:$C,0))</f>
        <v>Mahala Ludwell</v>
      </c>
      <c r="C556" s="15">
        <f>_xlfn.MAXIFS(orders!$B:$B,orders!$C:$C,A556)</f>
        <v>44268</v>
      </c>
      <c r="D556" s="14">
        <f t="shared" si="49"/>
        <v>525</v>
      </c>
      <c r="E556" s="14">
        <f>COUNTIFS(orders!$C:$C,A556)</f>
        <v>1</v>
      </c>
      <c r="F556" s="16">
        <f>SUMIFS(orders!$M:$M,orders!$C:$C,A556)</f>
        <v>23.88</v>
      </c>
      <c r="G556" s="14" t="str">
        <f>INDEX(orders!$P:$P,MATCH(A556,orders!$C:$C,0))</f>
        <v>Yes</v>
      </c>
      <c r="H556" s="17">
        <f t="shared" si="50"/>
        <v>3</v>
      </c>
      <c r="I556" s="14">
        <f t="shared" si="51"/>
        <v>1</v>
      </c>
      <c r="J556">
        <f t="shared" si="52"/>
        <v>2</v>
      </c>
      <c r="K556" s="14">
        <f t="shared" si="53"/>
        <v>6</v>
      </c>
      <c r="L556" t="str">
        <f t="shared" si="54"/>
        <v>Standard One-Time Buyers</v>
      </c>
    </row>
    <row r="557" spans="1:12" x14ac:dyDescent="0.3">
      <c r="A557" s="12" t="s">
        <v>2574</v>
      </c>
      <c r="B557" s="14" t="str">
        <f>INDEX(orders!$F:$F,MATCH(A557,orders!$C:$C,0))</f>
        <v>Corinna Catcheside</v>
      </c>
      <c r="C557" s="15">
        <f>_xlfn.MAXIFS(orders!$B:$B,orders!$C:$C,A557)</f>
        <v>43501</v>
      </c>
      <c r="D557" s="14">
        <f t="shared" si="49"/>
        <v>1292</v>
      </c>
      <c r="E557" s="14">
        <f>COUNTIFS(orders!$C:$C,A557)</f>
        <v>1</v>
      </c>
      <c r="F557" s="16">
        <f>SUMIFS(orders!$M:$M,orders!$C:$C,A557)</f>
        <v>24.3</v>
      </c>
      <c r="G557" s="14" t="str">
        <f>INDEX(orders!$P:$P,MATCH(A557,orders!$C:$C,0))</f>
        <v>Yes</v>
      </c>
      <c r="H557" s="17">
        <f t="shared" si="50"/>
        <v>1</v>
      </c>
      <c r="I557" s="14">
        <f t="shared" si="51"/>
        <v>1</v>
      </c>
      <c r="J557">
        <f t="shared" si="52"/>
        <v>2</v>
      </c>
      <c r="K557" s="14">
        <f t="shared" si="53"/>
        <v>4</v>
      </c>
      <c r="L557" t="str">
        <f t="shared" si="54"/>
        <v>Lapsed One-Time Buyers</v>
      </c>
    </row>
    <row r="558" spans="1:12" x14ac:dyDescent="0.3">
      <c r="A558" s="12" t="s">
        <v>3655</v>
      </c>
      <c r="B558" s="14" t="str">
        <f>INDEX(orders!$F:$F,MATCH(A558,orders!$C:$C,0))</f>
        <v>Hatty Dovydenas</v>
      </c>
      <c r="C558" s="15">
        <f>_xlfn.MAXIFS(orders!$B:$B,orders!$C:$C,A558)</f>
        <v>44401</v>
      </c>
      <c r="D558" s="14">
        <f t="shared" si="49"/>
        <v>392</v>
      </c>
      <c r="E558" s="14">
        <f>COUNTIFS(orders!$C:$C,A558)</f>
        <v>1</v>
      </c>
      <c r="F558" s="16">
        <f>SUMIFS(orders!$M:$M,orders!$C:$C,A558)</f>
        <v>189.74999999999997</v>
      </c>
      <c r="G558" s="14" t="str">
        <f>INDEX(orders!$P:$P,MATCH(A558,orders!$C:$C,0))</f>
        <v>Yes</v>
      </c>
      <c r="H558" s="17">
        <f t="shared" si="50"/>
        <v>4</v>
      </c>
      <c r="I558" s="14">
        <f t="shared" si="51"/>
        <v>1</v>
      </c>
      <c r="J558">
        <f t="shared" si="52"/>
        <v>5</v>
      </c>
      <c r="K558" s="14">
        <f t="shared" si="53"/>
        <v>10</v>
      </c>
      <c r="L558" t="str">
        <f t="shared" si="54"/>
        <v>Recent High-Value (One-Time)</v>
      </c>
    </row>
    <row r="559" spans="1:12" x14ac:dyDescent="0.3">
      <c r="A559" s="12" t="s">
        <v>1153</v>
      </c>
      <c r="B559" s="14" t="str">
        <f>INDEX(orders!$F:$F,MATCH(A559,orders!$C:$C,0))</f>
        <v>Muffin Yallop</v>
      </c>
      <c r="C559" s="15">
        <f>_xlfn.MAXIFS(orders!$B:$B,orders!$C:$C,A559)</f>
        <v>43760</v>
      </c>
      <c r="D559" s="14">
        <f t="shared" si="49"/>
        <v>1033</v>
      </c>
      <c r="E559" s="14">
        <f>COUNTIFS(orders!$C:$C,A559)</f>
        <v>1</v>
      </c>
      <c r="F559" s="16">
        <f>SUMIFS(orders!$M:$M,orders!$C:$C,A559)</f>
        <v>21.87</v>
      </c>
      <c r="G559" s="14" t="str">
        <f>INDEX(orders!$P:$P,MATCH(A559,orders!$C:$C,0))</f>
        <v>Yes</v>
      </c>
      <c r="H559" s="17">
        <f t="shared" si="50"/>
        <v>2</v>
      </c>
      <c r="I559" s="14">
        <f t="shared" si="51"/>
        <v>1</v>
      </c>
      <c r="J559">
        <f t="shared" si="52"/>
        <v>2</v>
      </c>
      <c r="K559" s="14">
        <f t="shared" si="53"/>
        <v>5</v>
      </c>
      <c r="L559" t="str">
        <f t="shared" si="54"/>
        <v>Lapsed One-Time Buyers</v>
      </c>
    </row>
    <row r="560" spans="1:12" x14ac:dyDescent="0.3">
      <c r="A560" s="12" t="s">
        <v>588</v>
      </c>
      <c r="B560" s="14" t="str">
        <f>INDEX(orders!$F:$F,MATCH(A560,orders!$C:$C,0))</f>
        <v>Rhianon Broxup</v>
      </c>
      <c r="C560" s="15">
        <f>_xlfn.MAXIFS(orders!$B:$B,orders!$C:$C,A560)</f>
        <v>43757</v>
      </c>
      <c r="D560" s="14">
        <f t="shared" si="49"/>
        <v>1036</v>
      </c>
      <c r="E560" s="14">
        <f>COUNTIFS(orders!$C:$C,A560)</f>
        <v>1</v>
      </c>
      <c r="F560" s="16">
        <f>SUMIFS(orders!$M:$M,orders!$C:$C,A560)</f>
        <v>77.699999999999989</v>
      </c>
      <c r="G560" s="14" t="str">
        <f>INDEX(orders!$P:$P,MATCH(A560,orders!$C:$C,0))</f>
        <v>No</v>
      </c>
      <c r="H560" s="17">
        <f t="shared" si="50"/>
        <v>2</v>
      </c>
      <c r="I560" s="14">
        <f t="shared" si="51"/>
        <v>1</v>
      </c>
      <c r="J560">
        <f t="shared" si="52"/>
        <v>4</v>
      </c>
      <c r="K560" s="14">
        <f t="shared" si="53"/>
        <v>7</v>
      </c>
      <c r="L560" t="str">
        <f t="shared" si="54"/>
        <v>Lapsed One-Time Buyers</v>
      </c>
    </row>
    <row r="561" spans="1:12" x14ac:dyDescent="0.3">
      <c r="A561" s="12" t="s">
        <v>3089</v>
      </c>
      <c r="B561" s="14" t="str">
        <f>INDEX(orders!$F:$F,MATCH(A561,orders!$C:$C,0))</f>
        <v>Araldo Bilbrook</v>
      </c>
      <c r="C561" s="15">
        <f>_xlfn.MAXIFS(orders!$B:$B,orders!$C:$C,A561)</f>
        <v>43602</v>
      </c>
      <c r="D561" s="14">
        <f t="shared" si="49"/>
        <v>1191</v>
      </c>
      <c r="E561" s="14">
        <f>COUNTIFS(orders!$C:$C,A561)</f>
        <v>1</v>
      </c>
      <c r="F561" s="16">
        <f>SUMIFS(orders!$M:$M,orders!$C:$C,A561)</f>
        <v>16.11</v>
      </c>
      <c r="G561" s="14" t="str">
        <f>INDEX(orders!$P:$P,MATCH(A561,orders!$C:$C,0))</f>
        <v>Yes</v>
      </c>
      <c r="H561" s="17">
        <f t="shared" si="50"/>
        <v>1</v>
      </c>
      <c r="I561" s="14">
        <f t="shared" si="51"/>
        <v>1</v>
      </c>
      <c r="J561">
        <f t="shared" si="52"/>
        <v>2</v>
      </c>
      <c r="K561" s="14">
        <f t="shared" si="53"/>
        <v>4</v>
      </c>
      <c r="L561" t="str">
        <f t="shared" si="54"/>
        <v>Lapsed One-Time Buyers</v>
      </c>
    </row>
    <row r="562" spans="1:12" x14ac:dyDescent="0.3">
      <c r="A562" s="12" t="s">
        <v>3851</v>
      </c>
      <c r="B562" s="14" t="str">
        <f>INDEX(orders!$F:$F,MATCH(A562,orders!$C:$C,0))</f>
        <v>Darby Dummer</v>
      </c>
      <c r="C562" s="15">
        <f>_xlfn.MAXIFS(orders!$B:$B,orders!$C:$C,A562)</f>
        <v>44527</v>
      </c>
      <c r="D562" s="14">
        <f t="shared" si="49"/>
        <v>266</v>
      </c>
      <c r="E562" s="14">
        <f>COUNTIFS(orders!$C:$C,A562)</f>
        <v>1</v>
      </c>
      <c r="F562" s="16">
        <f>SUMIFS(orders!$M:$M,orders!$C:$C,A562)</f>
        <v>14.85</v>
      </c>
      <c r="G562" s="14" t="str">
        <f>INDEX(orders!$P:$P,MATCH(A562,orders!$C:$C,0))</f>
        <v>No</v>
      </c>
      <c r="H562" s="17">
        <f t="shared" si="50"/>
        <v>5</v>
      </c>
      <c r="I562" s="14">
        <f t="shared" si="51"/>
        <v>1</v>
      </c>
      <c r="J562">
        <f t="shared" si="52"/>
        <v>2</v>
      </c>
      <c r="K562" s="14">
        <f t="shared" si="53"/>
        <v>8</v>
      </c>
      <c r="L562" t="str">
        <f t="shared" si="54"/>
        <v>Standard One-Time Buyers</v>
      </c>
    </row>
    <row r="563" spans="1:12" x14ac:dyDescent="0.3">
      <c r="A563" s="12" t="s">
        <v>6118</v>
      </c>
      <c r="B563" s="14" t="str">
        <f>INDEX(orders!$F:$F,MATCH(A563,orders!$C:$C,0))</f>
        <v>Marguerite Graves</v>
      </c>
      <c r="C563" s="15">
        <f>_xlfn.MAXIFS(orders!$B:$B,orders!$C:$C,A563)</f>
        <v>44718</v>
      </c>
      <c r="D563" s="14">
        <f t="shared" si="49"/>
        <v>75</v>
      </c>
      <c r="E563" s="14">
        <f>COUNTIFS(orders!$C:$C,A563)</f>
        <v>4</v>
      </c>
      <c r="F563" s="16">
        <f>SUMIFS(orders!$M:$M,orders!$C:$C,A563)</f>
        <v>90.614999999999995</v>
      </c>
      <c r="G563" s="14" t="str">
        <f>INDEX(orders!$P:$P,MATCH(A563,orders!$C:$C,0))</f>
        <v>No</v>
      </c>
      <c r="H563" s="17">
        <f t="shared" si="50"/>
        <v>5</v>
      </c>
      <c r="I563" s="14">
        <f t="shared" si="51"/>
        <v>5</v>
      </c>
      <c r="J563">
        <f t="shared" si="52"/>
        <v>5</v>
      </c>
      <c r="K563" s="14">
        <f t="shared" si="53"/>
        <v>15</v>
      </c>
      <c r="L563" t="str">
        <f t="shared" si="54"/>
        <v>Loyal Repeat Customers</v>
      </c>
    </row>
    <row r="564" spans="1:12" x14ac:dyDescent="0.3">
      <c r="A564" s="12" t="s">
        <v>2228</v>
      </c>
      <c r="B564" s="14" t="str">
        <f>INDEX(orders!$F:$F,MATCH(A564,orders!$C:$C,0))</f>
        <v>Cos Fluin</v>
      </c>
      <c r="C564" s="15">
        <f>_xlfn.MAXIFS(orders!$B:$B,orders!$C:$C,A564)</f>
        <v>44729</v>
      </c>
      <c r="D564" s="14">
        <f t="shared" si="49"/>
        <v>64</v>
      </c>
      <c r="E564" s="14">
        <f>COUNTIFS(orders!$C:$C,A564)</f>
        <v>1</v>
      </c>
      <c r="F564" s="16">
        <f>SUMIFS(orders!$M:$M,orders!$C:$C,A564)</f>
        <v>33.75</v>
      </c>
      <c r="G564" s="14" t="str">
        <f>INDEX(orders!$P:$P,MATCH(A564,orders!$C:$C,0))</f>
        <v>No</v>
      </c>
      <c r="H564" s="17">
        <f t="shared" si="50"/>
        <v>5</v>
      </c>
      <c r="I564" s="14">
        <f t="shared" si="51"/>
        <v>1</v>
      </c>
      <c r="J564">
        <f t="shared" si="52"/>
        <v>3</v>
      </c>
      <c r="K564" s="14">
        <f t="shared" si="53"/>
        <v>9</v>
      </c>
      <c r="L564" t="str">
        <f t="shared" si="54"/>
        <v>Standard One-Time Buyers</v>
      </c>
    </row>
    <row r="565" spans="1:12" x14ac:dyDescent="0.3">
      <c r="A565" s="12" t="s">
        <v>1431</v>
      </c>
      <c r="B565" s="14" t="str">
        <f>INDEX(orders!$F:$F,MATCH(A565,orders!$C:$C,0))</f>
        <v>Tamarah Fero</v>
      </c>
      <c r="C565" s="15">
        <f>_xlfn.MAXIFS(orders!$B:$B,orders!$C:$C,A565)</f>
        <v>44777</v>
      </c>
      <c r="D565" s="14">
        <f t="shared" si="49"/>
        <v>16</v>
      </c>
      <c r="E565" s="14">
        <f>COUNTIFS(orders!$C:$C,A565)</f>
        <v>1</v>
      </c>
      <c r="F565" s="16">
        <f>SUMIFS(orders!$M:$M,orders!$C:$C,A565)</f>
        <v>41.25</v>
      </c>
      <c r="G565" s="14" t="str">
        <f>INDEX(orders!$P:$P,MATCH(A565,orders!$C:$C,0))</f>
        <v>Yes</v>
      </c>
      <c r="H565" s="17">
        <f t="shared" si="50"/>
        <v>5</v>
      </c>
      <c r="I565" s="14">
        <f t="shared" si="51"/>
        <v>1</v>
      </c>
      <c r="J565">
        <f t="shared" si="52"/>
        <v>3</v>
      </c>
      <c r="K565" s="14">
        <f t="shared" si="53"/>
        <v>9</v>
      </c>
      <c r="L565" t="str">
        <f t="shared" si="54"/>
        <v>Standard One-Time Buyers</v>
      </c>
    </row>
    <row r="566" spans="1:12" x14ac:dyDescent="0.3">
      <c r="A566" s="12" t="s">
        <v>2386</v>
      </c>
      <c r="B566" s="14" t="str">
        <f>INDEX(orders!$F:$F,MATCH(A566,orders!$C:$C,0))</f>
        <v>Terencio O'Moylan</v>
      </c>
      <c r="C566" s="15">
        <f>_xlfn.MAXIFS(orders!$B:$B,orders!$C:$C,A566)</f>
        <v>44434</v>
      </c>
      <c r="D566" s="14">
        <f t="shared" si="49"/>
        <v>359</v>
      </c>
      <c r="E566" s="14">
        <f>COUNTIFS(orders!$C:$C,A566)</f>
        <v>1</v>
      </c>
      <c r="F566" s="16">
        <f>SUMIFS(orders!$M:$M,orders!$C:$C,A566)</f>
        <v>45</v>
      </c>
      <c r="G566" s="14" t="str">
        <f>INDEX(orders!$P:$P,MATCH(A566,orders!$C:$C,0))</f>
        <v>No</v>
      </c>
      <c r="H566" s="17">
        <f t="shared" si="50"/>
        <v>4</v>
      </c>
      <c r="I566" s="14">
        <f t="shared" si="51"/>
        <v>1</v>
      </c>
      <c r="J566">
        <f t="shared" si="52"/>
        <v>4</v>
      </c>
      <c r="K566" s="14">
        <f t="shared" si="53"/>
        <v>9</v>
      </c>
      <c r="L566" t="str">
        <f t="shared" si="54"/>
        <v>Recent High-Value (One-Time)</v>
      </c>
    </row>
    <row r="567" spans="1:12" x14ac:dyDescent="0.3">
      <c r="A567" s="12" t="s">
        <v>5403</v>
      </c>
      <c r="B567" s="14" t="str">
        <f>INDEX(orders!$F:$F,MATCH(A567,orders!$C:$C,0))</f>
        <v>Alexina Randals</v>
      </c>
      <c r="C567" s="15">
        <f>_xlfn.MAXIFS(orders!$B:$B,orders!$C:$C,A567)</f>
        <v>43851</v>
      </c>
      <c r="D567" s="14">
        <f t="shared" si="49"/>
        <v>942</v>
      </c>
      <c r="E567" s="14">
        <f>COUNTIFS(orders!$C:$C,A567)</f>
        <v>1</v>
      </c>
      <c r="F567" s="16">
        <f>SUMIFS(orders!$M:$M,orders!$C:$C,A567)</f>
        <v>17.91</v>
      </c>
      <c r="G567" s="14" t="str">
        <f>INDEX(orders!$P:$P,MATCH(A567,orders!$C:$C,0))</f>
        <v>Yes</v>
      </c>
      <c r="H567" s="17">
        <f t="shared" si="50"/>
        <v>2</v>
      </c>
      <c r="I567" s="14">
        <f t="shared" si="51"/>
        <v>1</v>
      </c>
      <c r="J567">
        <f t="shared" si="52"/>
        <v>2</v>
      </c>
      <c r="K567" s="14">
        <f t="shared" si="53"/>
        <v>5</v>
      </c>
      <c r="L567" t="str">
        <f t="shared" si="54"/>
        <v>Lapsed One-Time Buyers</v>
      </c>
    </row>
    <row r="568" spans="1:12" x14ac:dyDescent="0.3">
      <c r="A568" s="12" t="s">
        <v>2143</v>
      </c>
      <c r="B568" s="14" t="str">
        <f>INDEX(orders!$F:$F,MATCH(A568,orders!$C:$C,0))</f>
        <v>Cassie Pinkerton</v>
      </c>
      <c r="C568" s="15">
        <f>_xlfn.MAXIFS(orders!$B:$B,orders!$C:$C,A568)</f>
        <v>44275</v>
      </c>
      <c r="D568" s="14">
        <f t="shared" si="49"/>
        <v>518</v>
      </c>
      <c r="E568" s="14">
        <f>COUNTIFS(orders!$C:$C,A568)</f>
        <v>1</v>
      </c>
      <c r="F568" s="16">
        <f>SUMIFS(orders!$M:$M,orders!$C:$C,A568)</f>
        <v>29.849999999999998</v>
      </c>
      <c r="G568" s="14" t="str">
        <f>INDEX(orders!$P:$P,MATCH(A568,orders!$C:$C,0))</f>
        <v>No</v>
      </c>
      <c r="H568" s="17">
        <f t="shared" si="50"/>
        <v>3</v>
      </c>
      <c r="I568" s="14">
        <f t="shared" si="51"/>
        <v>1</v>
      </c>
      <c r="J568">
        <f t="shared" si="52"/>
        <v>3</v>
      </c>
      <c r="K568" s="14">
        <f t="shared" si="53"/>
        <v>7</v>
      </c>
      <c r="L568" t="str">
        <f t="shared" si="54"/>
        <v>Standard One-Time Buyers</v>
      </c>
    </row>
    <row r="569" spans="1:12" x14ac:dyDescent="0.3">
      <c r="A569" s="12" t="s">
        <v>2176</v>
      </c>
      <c r="B569" s="14" t="str">
        <f>INDEX(orders!$F:$F,MATCH(A569,orders!$C:$C,0))</f>
        <v>Lacee Tanti</v>
      </c>
      <c r="C569" s="15">
        <f>_xlfn.MAXIFS(orders!$B:$B,orders!$C:$C,A569)</f>
        <v>43582</v>
      </c>
      <c r="D569" s="14">
        <f t="shared" si="49"/>
        <v>1211</v>
      </c>
      <c r="E569" s="14">
        <f>COUNTIFS(orders!$C:$C,A569)</f>
        <v>1</v>
      </c>
      <c r="F569" s="16">
        <f>SUMIFS(orders!$M:$M,orders!$C:$C,A569)</f>
        <v>204.92999999999995</v>
      </c>
      <c r="G569" s="14" t="str">
        <f>INDEX(orders!$P:$P,MATCH(A569,orders!$C:$C,0))</f>
        <v>Yes</v>
      </c>
      <c r="H569" s="17">
        <f t="shared" si="50"/>
        <v>1</v>
      </c>
      <c r="I569" s="14">
        <f t="shared" si="51"/>
        <v>1</v>
      </c>
      <c r="J569">
        <f t="shared" si="52"/>
        <v>5</v>
      </c>
      <c r="K569" s="14">
        <f t="shared" si="53"/>
        <v>7</v>
      </c>
      <c r="L569" t="str">
        <f t="shared" si="54"/>
        <v>Lapsed One-Time Buyers</v>
      </c>
    </row>
    <row r="570" spans="1:12" x14ac:dyDescent="0.3">
      <c r="A570" s="12" t="s">
        <v>931</v>
      </c>
      <c r="B570" s="14" t="str">
        <f>INDEX(orders!$F:$F,MATCH(A570,orders!$C:$C,0))</f>
        <v>Lothaire Mizzi</v>
      </c>
      <c r="C570" s="15">
        <f>_xlfn.MAXIFS(orders!$B:$B,orders!$C:$C,A570)</f>
        <v>43920</v>
      </c>
      <c r="D570" s="14">
        <f t="shared" si="49"/>
        <v>873</v>
      </c>
      <c r="E570" s="14">
        <f>COUNTIFS(orders!$C:$C,A570)</f>
        <v>1</v>
      </c>
      <c r="F570" s="16">
        <f>SUMIFS(orders!$M:$M,orders!$C:$C,A570)</f>
        <v>40.5</v>
      </c>
      <c r="G570" s="14" t="str">
        <f>INDEX(orders!$P:$P,MATCH(A570,orders!$C:$C,0))</f>
        <v>Yes</v>
      </c>
      <c r="H570" s="17">
        <f t="shared" si="50"/>
        <v>2</v>
      </c>
      <c r="I570" s="14">
        <f t="shared" si="51"/>
        <v>1</v>
      </c>
      <c r="J570">
        <f t="shared" si="52"/>
        <v>3</v>
      </c>
      <c r="K570" s="14">
        <f t="shared" si="53"/>
        <v>6</v>
      </c>
      <c r="L570" t="str">
        <f t="shared" si="54"/>
        <v>Lapsed One-Time Buyers</v>
      </c>
    </row>
    <row r="571" spans="1:12" x14ac:dyDescent="0.3">
      <c r="A571" s="12" t="s">
        <v>5009</v>
      </c>
      <c r="B571" s="14" t="str">
        <f>INDEX(orders!$F:$F,MATCH(A571,orders!$C:$C,0))</f>
        <v>Gonzales Cicculi</v>
      </c>
      <c r="C571" s="15">
        <f>_xlfn.MAXIFS(orders!$B:$B,orders!$C:$C,A571)</f>
        <v>44588</v>
      </c>
      <c r="D571" s="14">
        <f t="shared" si="49"/>
        <v>205</v>
      </c>
      <c r="E571" s="14">
        <f>COUNTIFS(orders!$C:$C,A571)</f>
        <v>1</v>
      </c>
      <c r="F571" s="16">
        <f>SUMIFS(orders!$M:$M,orders!$C:$C,A571)</f>
        <v>36.450000000000003</v>
      </c>
      <c r="G571" s="14" t="str">
        <f>INDEX(orders!$P:$P,MATCH(A571,orders!$C:$C,0))</f>
        <v>Yes</v>
      </c>
      <c r="H571" s="17">
        <f t="shared" si="50"/>
        <v>5</v>
      </c>
      <c r="I571" s="14">
        <f t="shared" si="51"/>
        <v>1</v>
      </c>
      <c r="J571">
        <f t="shared" si="52"/>
        <v>3</v>
      </c>
      <c r="K571" s="14">
        <f t="shared" si="53"/>
        <v>9</v>
      </c>
      <c r="L571" t="str">
        <f t="shared" si="54"/>
        <v>Standard One-Time Buyers</v>
      </c>
    </row>
    <row r="572" spans="1:12" x14ac:dyDescent="0.3">
      <c r="A572" s="12" t="s">
        <v>4974</v>
      </c>
      <c r="B572" s="14" t="str">
        <f>INDEX(orders!$F:$F,MATCH(A572,orders!$C:$C,0))</f>
        <v>Lukas Whittlesee</v>
      </c>
      <c r="C572" s="15">
        <f>_xlfn.MAXIFS(orders!$B:$B,orders!$C:$C,A572)</f>
        <v>43629</v>
      </c>
      <c r="D572" s="14">
        <f t="shared" si="49"/>
        <v>1164</v>
      </c>
      <c r="E572" s="14">
        <f>COUNTIFS(orders!$C:$C,A572)</f>
        <v>1</v>
      </c>
      <c r="F572" s="16">
        <f>SUMIFS(orders!$M:$M,orders!$C:$C,A572)</f>
        <v>17.924999999999997</v>
      </c>
      <c r="G572" s="14" t="str">
        <f>INDEX(orders!$P:$P,MATCH(A572,orders!$C:$C,0))</f>
        <v>No</v>
      </c>
      <c r="H572" s="17">
        <f t="shared" si="50"/>
        <v>1</v>
      </c>
      <c r="I572" s="14">
        <f t="shared" si="51"/>
        <v>1</v>
      </c>
      <c r="J572">
        <f t="shared" si="52"/>
        <v>2</v>
      </c>
      <c r="K572" s="14">
        <f t="shared" si="53"/>
        <v>4</v>
      </c>
      <c r="L572" t="str">
        <f t="shared" si="54"/>
        <v>Lapsed One-Time Buyers</v>
      </c>
    </row>
    <row r="573" spans="1:12" x14ac:dyDescent="0.3">
      <c r="A573" s="12" t="s">
        <v>5817</v>
      </c>
      <c r="B573" s="14" t="str">
        <f>INDEX(orders!$F:$F,MATCH(A573,orders!$C:$C,0))</f>
        <v>Vernor Pawsey</v>
      </c>
      <c r="C573" s="15">
        <f>_xlfn.MAXIFS(orders!$B:$B,orders!$C:$C,A573)</f>
        <v>44464</v>
      </c>
      <c r="D573" s="14">
        <f t="shared" si="49"/>
        <v>329</v>
      </c>
      <c r="E573" s="14">
        <f>COUNTIFS(orders!$C:$C,A573)</f>
        <v>1</v>
      </c>
      <c r="F573" s="16">
        <f>SUMIFS(orders!$M:$M,orders!$C:$C,A573)</f>
        <v>35.849999999999994</v>
      </c>
      <c r="G573" s="14" t="str">
        <f>INDEX(orders!$P:$P,MATCH(A573,orders!$C:$C,0))</f>
        <v>No</v>
      </c>
      <c r="H573" s="17">
        <f t="shared" si="50"/>
        <v>4</v>
      </c>
      <c r="I573" s="14">
        <f t="shared" si="51"/>
        <v>1</v>
      </c>
      <c r="J573">
        <f t="shared" si="52"/>
        <v>3</v>
      </c>
      <c r="K573" s="14">
        <f t="shared" si="53"/>
        <v>8</v>
      </c>
      <c r="L573" t="str">
        <f t="shared" si="54"/>
        <v>Standard One-Time Buyers</v>
      </c>
    </row>
    <row r="574" spans="1:12" x14ac:dyDescent="0.3">
      <c r="A574" s="12" t="s">
        <v>4337</v>
      </c>
      <c r="B574" s="14" t="str">
        <f>INDEX(orders!$F:$F,MATCH(A574,orders!$C:$C,0))</f>
        <v>Nicky Ayris</v>
      </c>
      <c r="C574" s="15">
        <f>_xlfn.MAXIFS(orders!$B:$B,orders!$C:$C,A574)</f>
        <v>44080</v>
      </c>
      <c r="D574" s="14">
        <f t="shared" si="49"/>
        <v>713</v>
      </c>
      <c r="E574" s="14">
        <f>COUNTIFS(orders!$C:$C,A574)</f>
        <v>1</v>
      </c>
      <c r="F574" s="16">
        <f>SUMIFS(orders!$M:$M,orders!$C:$C,A574)</f>
        <v>9.51</v>
      </c>
      <c r="G574" s="14" t="str">
        <f>INDEX(orders!$P:$P,MATCH(A574,orders!$C:$C,0))</f>
        <v>Yes</v>
      </c>
      <c r="H574" s="17">
        <f t="shared" si="50"/>
        <v>3</v>
      </c>
      <c r="I574" s="14">
        <f t="shared" si="51"/>
        <v>1</v>
      </c>
      <c r="J574">
        <f t="shared" si="52"/>
        <v>1</v>
      </c>
      <c r="K574" s="14">
        <f t="shared" si="53"/>
        <v>5</v>
      </c>
      <c r="L574" t="str">
        <f t="shared" si="54"/>
        <v>Standard One-Time Buyers</v>
      </c>
    </row>
    <row r="575" spans="1:12" x14ac:dyDescent="0.3">
      <c r="A575" s="12" t="s">
        <v>1124</v>
      </c>
      <c r="B575" s="14" t="str">
        <f>INDEX(orders!$F:$F,MATCH(A575,orders!$C:$C,0))</f>
        <v>Merrel Steptow</v>
      </c>
      <c r="C575" s="15">
        <f>_xlfn.MAXIFS(orders!$B:$B,orders!$C:$C,A575)</f>
        <v>43556</v>
      </c>
      <c r="D575" s="14">
        <f t="shared" si="49"/>
        <v>1237</v>
      </c>
      <c r="E575" s="14">
        <f>COUNTIFS(orders!$C:$C,A575)</f>
        <v>1</v>
      </c>
      <c r="F575" s="16">
        <f>SUMIFS(orders!$M:$M,orders!$C:$C,A575)</f>
        <v>14.55</v>
      </c>
      <c r="G575" s="14" t="str">
        <f>INDEX(orders!$P:$P,MATCH(A575,orders!$C:$C,0))</f>
        <v>No</v>
      </c>
      <c r="H575" s="17">
        <f t="shared" si="50"/>
        <v>1</v>
      </c>
      <c r="I575" s="14">
        <f t="shared" si="51"/>
        <v>1</v>
      </c>
      <c r="J575">
        <f t="shared" si="52"/>
        <v>2</v>
      </c>
      <c r="K575" s="14">
        <f t="shared" si="53"/>
        <v>4</v>
      </c>
      <c r="L575" t="str">
        <f t="shared" si="54"/>
        <v>Lapsed One-Time Buyers</v>
      </c>
    </row>
    <row r="576" spans="1:12" x14ac:dyDescent="0.3">
      <c r="A576" s="12" t="s">
        <v>2314</v>
      </c>
      <c r="B576" s="14" t="str">
        <f>INDEX(orders!$F:$F,MATCH(A576,orders!$C:$C,0))</f>
        <v>Donica Bonhome</v>
      </c>
      <c r="C576" s="15">
        <f>_xlfn.MAXIFS(orders!$B:$B,orders!$C:$C,A576)</f>
        <v>44373</v>
      </c>
      <c r="D576" s="14">
        <f t="shared" si="49"/>
        <v>420</v>
      </c>
      <c r="E576" s="14">
        <f>COUNTIFS(orders!$C:$C,A576)</f>
        <v>1</v>
      </c>
      <c r="F576" s="16">
        <f>SUMIFS(orders!$M:$M,orders!$C:$C,A576)</f>
        <v>18.225000000000001</v>
      </c>
      <c r="G576" s="14" t="str">
        <f>INDEX(orders!$P:$P,MATCH(A576,orders!$C:$C,0))</f>
        <v>Yes</v>
      </c>
      <c r="H576" s="17">
        <f t="shared" si="50"/>
        <v>4</v>
      </c>
      <c r="I576" s="14">
        <f t="shared" si="51"/>
        <v>1</v>
      </c>
      <c r="J576">
        <f t="shared" si="52"/>
        <v>2</v>
      </c>
      <c r="K576" s="14">
        <f t="shared" si="53"/>
        <v>7</v>
      </c>
      <c r="L576" t="str">
        <f t="shared" si="54"/>
        <v>Standard One-Time Buyers</v>
      </c>
    </row>
    <row r="577" spans="1:12" x14ac:dyDescent="0.3">
      <c r="A577" s="12" t="s">
        <v>1033</v>
      </c>
      <c r="B577" s="14" t="str">
        <f>INDEX(orders!$F:$F,MATCH(A577,orders!$C:$C,0))</f>
        <v>Ilysa Whapple</v>
      </c>
      <c r="C577" s="15">
        <f>_xlfn.MAXIFS(orders!$B:$B,orders!$C:$C,A577)</f>
        <v>44259</v>
      </c>
      <c r="D577" s="14">
        <f t="shared" si="49"/>
        <v>534</v>
      </c>
      <c r="E577" s="14">
        <f>COUNTIFS(orders!$C:$C,A577)</f>
        <v>1</v>
      </c>
      <c r="F577" s="16">
        <f>SUMIFS(orders!$M:$M,orders!$C:$C,A577)</f>
        <v>13.5</v>
      </c>
      <c r="G577" s="14" t="str">
        <f>INDEX(orders!$P:$P,MATCH(A577,orders!$C:$C,0))</f>
        <v>No</v>
      </c>
      <c r="H577" s="17">
        <f t="shared" si="50"/>
        <v>3</v>
      </c>
      <c r="I577" s="14">
        <f t="shared" si="51"/>
        <v>1</v>
      </c>
      <c r="J577">
        <f t="shared" si="52"/>
        <v>1</v>
      </c>
      <c r="K577" s="14">
        <f t="shared" si="53"/>
        <v>5</v>
      </c>
      <c r="L577" t="str">
        <f t="shared" si="54"/>
        <v>Standard One-Time Buyers</v>
      </c>
    </row>
    <row r="578" spans="1:12" x14ac:dyDescent="0.3">
      <c r="A578" s="12" t="s">
        <v>2342</v>
      </c>
      <c r="B578" s="14" t="str">
        <f>INDEX(orders!$F:$F,MATCH(A578,orders!$C:$C,0))</f>
        <v>Homer Dulany</v>
      </c>
      <c r="C578" s="15">
        <f>_xlfn.MAXIFS(orders!$B:$B,orders!$C:$C,A578)</f>
        <v>43620</v>
      </c>
      <c r="D578" s="14">
        <f t="shared" si="49"/>
        <v>1173</v>
      </c>
      <c r="E578" s="14">
        <f>COUNTIFS(orders!$C:$C,A578)</f>
        <v>1</v>
      </c>
      <c r="F578" s="16">
        <f>SUMIFS(orders!$M:$M,orders!$C:$C,A578)</f>
        <v>38.04</v>
      </c>
      <c r="G578" s="14" t="str">
        <f>INDEX(orders!$P:$P,MATCH(A578,orders!$C:$C,0))</f>
        <v>Yes</v>
      </c>
      <c r="H578" s="17">
        <f t="shared" si="50"/>
        <v>1</v>
      </c>
      <c r="I578" s="14">
        <f t="shared" si="51"/>
        <v>1</v>
      </c>
      <c r="J578">
        <f t="shared" si="52"/>
        <v>3</v>
      </c>
      <c r="K578" s="14">
        <f t="shared" si="53"/>
        <v>5</v>
      </c>
      <c r="L578" t="str">
        <f t="shared" si="54"/>
        <v>Lapsed One-Time Buyers</v>
      </c>
    </row>
    <row r="579" spans="1:12" x14ac:dyDescent="0.3">
      <c r="A579" s="12" t="s">
        <v>2510</v>
      </c>
      <c r="B579" s="14" t="str">
        <f>INDEX(orders!$F:$F,MATCH(A579,orders!$C:$C,0))</f>
        <v>Tomasina Cotmore</v>
      </c>
      <c r="C579" s="15">
        <f>_xlfn.MAXIFS(orders!$B:$B,orders!$C:$C,A579)</f>
        <v>43599</v>
      </c>
      <c r="D579" s="14">
        <f t="shared" si="49"/>
        <v>1194</v>
      </c>
      <c r="E579" s="14">
        <f>COUNTIFS(orders!$C:$C,A579)</f>
        <v>1</v>
      </c>
      <c r="F579" s="16">
        <f>SUMIFS(orders!$M:$M,orders!$C:$C,A579)</f>
        <v>29.784999999999997</v>
      </c>
      <c r="G579" s="14" t="str">
        <f>INDEX(orders!$P:$P,MATCH(A579,orders!$C:$C,0))</f>
        <v>No</v>
      </c>
      <c r="H579" s="17">
        <f t="shared" si="50"/>
        <v>1</v>
      </c>
      <c r="I579" s="14">
        <f t="shared" si="51"/>
        <v>1</v>
      </c>
      <c r="J579">
        <f t="shared" si="52"/>
        <v>3</v>
      </c>
      <c r="K579" s="14">
        <f t="shared" si="53"/>
        <v>5</v>
      </c>
      <c r="L579" t="str">
        <f t="shared" si="54"/>
        <v>Lapsed One-Time Buyers</v>
      </c>
    </row>
    <row r="580" spans="1:12" x14ac:dyDescent="0.3">
      <c r="A580" s="12" t="s">
        <v>3374</v>
      </c>
      <c r="B580" s="14" t="str">
        <f>INDEX(orders!$F:$F,MATCH(A580,orders!$C:$C,0))</f>
        <v>Camellia Kid</v>
      </c>
      <c r="C580" s="15">
        <f>_xlfn.MAXIFS(orders!$B:$B,orders!$C:$C,A580)</f>
        <v>43803</v>
      </c>
      <c r="D580" s="14">
        <f t="shared" si="49"/>
        <v>990</v>
      </c>
      <c r="E580" s="14">
        <f>COUNTIFS(orders!$C:$C,A580)</f>
        <v>1</v>
      </c>
      <c r="F580" s="16">
        <f>SUMIFS(orders!$M:$M,orders!$C:$C,A580)</f>
        <v>10.754999999999999</v>
      </c>
      <c r="G580" s="14" t="str">
        <f>INDEX(orders!$P:$P,MATCH(A580,orders!$C:$C,0))</f>
        <v>Yes</v>
      </c>
      <c r="H580" s="17">
        <f t="shared" si="50"/>
        <v>2</v>
      </c>
      <c r="I580" s="14">
        <f t="shared" si="51"/>
        <v>1</v>
      </c>
      <c r="J580">
        <f t="shared" si="52"/>
        <v>1</v>
      </c>
      <c r="K580" s="14">
        <f t="shared" si="53"/>
        <v>4</v>
      </c>
      <c r="L580" t="str">
        <f t="shared" si="54"/>
        <v>Lapsed One-Time Buyers</v>
      </c>
    </row>
    <row r="581" spans="1:12" x14ac:dyDescent="0.3">
      <c r="A581" s="12" t="s">
        <v>3696</v>
      </c>
      <c r="B581" s="14" t="str">
        <f>INDEX(orders!$F:$F,MATCH(A581,orders!$C:$C,0))</f>
        <v>Elvina Angel</v>
      </c>
      <c r="C581" s="15">
        <f>_xlfn.MAXIFS(orders!$B:$B,orders!$C:$C,A581)</f>
        <v>44318</v>
      </c>
      <c r="D581" s="14">
        <f t="shared" si="49"/>
        <v>475</v>
      </c>
      <c r="E581" s="14">
        <f>COUNTIFS(orders!$C:$C,A581)</f>
        <v>1</v>
      </c>
      <c r="F581" s="16">
        <f>SUMIFS(orders!$M:$M,orders!$C:$C,A581)</f>
        <v>164.90999999999997</v>
      </c>
      <c r="G581" s="14" t="str">
        <f>INDEX(orders!$P:$P,MATCH(A581,orders!$C:$C,0))</f>
        <v>No</v>
      </c>
      <c r="H581" s="17">
        <f t="shared" si="50"/>
        <v>4</v>
      </c>
      <c r="I581" s="14">
        <f t="shared" si="51"/>
        <v>1</v>
      </c>
      <c r="J581">
        <f t="shared" si="52"/>
        <v>5</v>
      </c>
      <c r="K581" s="14">
        <f t="shared" si="53"/>
        <v>10</v>
      </c>
      <c r="L581" t="str">
        <f t="shared" si="54"/>
        <v>Recent High-Value (One-Time)</v>
      </c>
    </row>
    <row r="582" spans="1:12" x14ac:dyDescent="0.3">
      <c r="A582" s="12" t="s">
        <v>2533</v>
      </c>
      <c r="B582" s="14" t="str">
        <f>INDEX(orders!$F:$F,MATCH(A582,orders!$C:$C,0))</f>
        <v>Feliks Babber</v>
      </c>
      <c r="C582" s="15">
        <f>_xlfn.MAXIFS(orders!$B:$B,orders!$C:$C,A582)</f>
        <v>44686</v>
      </c>
      <c r="D582" s="14">
        <f t="shared" ref="D582:D645" si="55">$B$1-C582</f>
        <v>107</v>
      </c>
      <c r="E582" s="14">
        <f>COUNTIFS(orders!$C:$C,A582)</f>
        <v>1</v>
      </c>
      <c r="F582" s="16">
        <f>SUMIFS(orders!$M:$M,orders!$C:$C,A582)</f>
        <v>74.25</v>
      </c>
      <c r="G582" s="14" t="str">
        <f>INDEX(orders!$P:$P,MATCH(A582,orders!$C:$C,0))</f>
        <v>Yes</v>
      </c>
      <c r="H582" s="17">
        <f t="shared" ref="H582:H645" si="56">IF(D582&lt;=$E$1,5,IF(D582&lt;=$F$1,4,IF(D582&lt;=$G$1,3,IF(D582&lt;=$H$1,2,1))))</f>
        <v>5</v>
      </c>
      <c r="I582" s="14">
        <f t="shared" ref="I582:I645" si="57">IF(E582&lt;=1,1,IF(E582&lt;=2,3,5))</f>
        <v>1</v>
      </c>
      <c r="J582">
        <f t="shared" ref="J582:J645" si="58">IF(F582&lt;=PERCENTILE($F$5:$F$917,0.2),1,IF(F582&lt;=PERCENTILE($F$5:$F$917,0.4),2,IF(F582&lt;=PERCENTILE($F$5:$F$917,0.6),3,IF(F582&lt;=PERCENTILE($F$5:$F$917,0.8),4,5))))</f>
        <v>4</v>
      </c>
      <c r="K582" s="14">
        <f t="shared" ref="K582:K645" si="59">H582+I582+J582</f>
        <v>10</v>
      </c>
      <c r="L582" t="str">
        <f t="shared" ref="L582:L645" si="60">IF(AND(E582&gt;=2,H582&gt;=4),"Loyal Repeat Customers",IF(E582&gt;=2,"At-Risk Repeat Customers",IF(AND(H582&gt;=4,J582&gt;=4),"Recent High-Value (One-Time)",IF(H582&lt;=2,"Lapsed One-Time Buyers","Standard One-Time Buyers"))))</f>
        <v>Recent High-Value (One-Time)</v>
      </c>
    </row>
    <row r="583" spans="1:12" x14ac:dyDescent="0.3">
      <c r="A583" s="12" t="s">
        <v>4175</v>
      </c>
      <c r="B583" s="14" t="str">
        <f>INDEX(orders!$F:$F,MATCH(A583,orders!$C:$C,0))</f>
        <v>Rhetta Zywicki</v>
      </c>
      <c r="C583" s="15">
        <f>_xlfn.MAXIFS(orders!$B:$B,orders!$C:$C,A583)</f>
        <v>43892</v>
      </c>
      <c r="D583" s="14">
        <f t="shared" si="55"/>
        <v>901</v>
      </c>
      <c r="E583" s="14">
        <f>COUNTIFS(orders!$C:$C,A583)</f>
        <v>1</v>
      </c>
      <c r="F583" s="16">
        <f>SUMIFS(orders!$M:$M,orders!$C:$C,A583)</f>
        <v>63.4</v>
      </c>
      <c r="G583" s="14" t="str">
        <f>INDEX(orders!$P:$P,MATCH(A583,orders!$C:$C,0))</f>
        <v>No</v>
      </c>
      <c r="H583" s="17">
        <f t="shared" si="56"/>
        <v>2</v>
      </c>
      <c r="I583" s="14">
        <f t="shared" si="57"/>
        <v>1</v>
      </c>
      <c r="J583">
        <f t="shared" si="58"/>
        <v>4</v>
      </c>
      <c r="K583" s="14">
        <f t="shared" si="59"/>
        <v>7</v>
      </c>
      <c r="L583" t="str">
        <f t="shared" si="60"/>
        <v>Lapsed One-Time Buyers</v>
      </c>
    </row>
    <row r="584" spans="1:12" x14ac:dyDescent="0.3">
      <c r="A584" s="12" t="s">
        <v>2134</v>
      </c>
      <c r="B584" s="14" t="str">
        <f>INDEX(orders!$F:$F,MATCH(A584,orders!$C:$C,0))</f>
        <v>Violante Skouling</v>
      </c>
      <c r="C584" s="15">
        <f>_xlfn.MAXIFS(orders!$B:$B,orders!$C:$C,A584)</f>
        <v>44181</v>
      </c>
      <c r="D584" s="14">
        <f t="shared" si="55"/>
        <v>612</v>
      </c>
      <c r="E584" s="14">
        <f>COUNTIFS(orders!$C:$C,A584)</f>
        <v>1</v>
      </c>
      <c r="F584" s="16">
        <f>SUMIFS(orders!$M:$M,orders!$C:$C,A584)</f>
        <v>16.5</v>
      </c>
      <c r="G584" s="14" t="str">
        <f>INDEX(orders!$P:$P,MATCH(A584,orders!$C:$C,0))</f>
        <v>No</v>
      </c>
      <c r="H584" s="17">
        <f t="shared" si="56"/>
        <v>3</v>
      </c>
      <c r="I584" s="14">
        <f t="shared" si="57"/>
        <v>1</v>
      </c>
      <c r="J584">
        <f t="shared" si="58"/>
        <v>2</v>
      </c>
      <c r="K584" s="14">
        <f t="shared" si="59"/>
        <v>6</v>
      </c>
      <c r="L584" t="str">
        <f t="shared" si="60"/>
        <v>Standard One-Time Buyers</v>
      </c>
    </row>
    <row r="585" spans="1:12" x14ac:dyDescent="0.3">
      <c r="A585" s="12" t="s">
        <v>1591</v>
      </c>
      <c r="B585" s="14" t="str">
        <f>INDEX(orders!$F:$F,MATCH(A585,orders!$C:$C,0))</f>
        <v>Marlena Howsden</v>
      </c>
      <c r="C585" s="15">
        <f>_xlfn.MAXIFS(orders!$B:$B,orders!$C:$C,A585)</f>
        <v>43683</v>
      </c>
      <c r="D585" s="14">
        <f t="shared" si="55"/>
        <v>1110</v>
      </c>
      <c r="E585" s="14">
        <f>COUNTIFS(orders!$C:$C,A585)</f>
        <v>1</v>
      </c>
      <c r="F585" s="16">
        <f>SUMIFS(orders!$M:$M,orders!$C:$C,A585)</f>
        <v>38.849999999999994</v>
      </c>
      <c r="G585" s="14" t="str">
        <f>INDEX(orders!$P:$P,MATCH(A585,orders!$C:$C,0))</f>
        <v>No</v>
      </c>
      <c r="H585" s="17">
        <f t="shared" si="56"/>
        <v>1</v>
      </c>
      <c r="I585" s="14">
        <f t="shared" si="57"/>
        <v>1</v>
      </c>
      <c r="J585">
        <f t="shared" si="58"/>
        <v>3</v>
      </c>
      <c r="K585" s="14">
        <f t="shared" si="59"/>
        <v>5</v>
      </c>
      <c r="L585" t="str">
        <f t="shared" si="60"/>
        <v>Lapsed One-Time Buyers</v>
      </c>
    </row>
    <row r="586" spans="1:12" x14ac:dyDescent="0.3">
      <c r="A586" s="12" t="s">
        <v>4609</v>
      </c>
      <c r="B586" s="14" t="str">
        <f>INDEX(orders!$F:$F,MATCH(A586,orders!$C:$C,0))</f>
        <v>Selle Scurrer</v>
      </c>
      <c r="C586" s="15">
        <f>_xlfn.MAXIFS(orders!$B:$B,orders!$C:$C,A586)</f>
        <v>44634</v>
      </c>
      <c r="D586" s="14">
        <f t="shared" si="55"/>
        <v>159</v>
      </c>
      <c r="E586" s="14">
        <f>COUNTIFS(orders!$C:$C,A586)</f>
        <v>1</v>
      </c>
      <c r="F586" s="16">
        <f>SUMIFS(orders!$M:$M,orders!$C:$C,A586)</f>
        <v>4.3650000000000002</v>
      </c>
      <c r="G586" s="14" t="str">
        <f>INDEX(orders!$P:$P,MATCH(A586,orders!$C:$C,0))</f>
        <v>No</v>
      </c>
      <c r="H586" s="17">
        <f t="shared" si="56"/>
        <v>5</v>
      </c>
      <c r="I586" s="14">
        <f t="shared" si="57"/>
        <v>1</v>
      </c>
      <c r="J586">
        <f t="shared" si="58"/>
        <v>1</v>
      </c>
      <c r="K586" s="14">
        <f t="shared" si="59"/>
        <v>7</v>
      </c>
      <c r="L586" t="str">
        <f t="shared" si="60"/>
        <v>Standard One-Time Buyers</v>
      </c>
    </row>
    <row r="587" spans="1:12" x14ac:dyDescent="0.3">
      <c r="A587" s="12" t="s">
        <v>3554</v>
      </c>
      <c r="B587" s="14" t="str">
        <f>INDEX(orders!$F:$F,MATCH(A587,orders!$C:$C,0))</f>
        <v>Zack Pellett</v>
      </c>
      <c r="C587" s="15">
        <f>_xlfn.MAXIFS(orders!$B:$B,orders!$C:$C,A587)</f>
        <v>44335</v>
      </c>
      <c r="D587" s="14">
        <f t="shared" si="55"/>
        <v>458</v>
      </c>
      <c r="E587" s="14">
        <f>COUNTIFS(orders!$C:$C,A587)</f>
        <v>1</v>
      </c>
      <c r="F587" s="16">
        <f>SUMIFS(orders!$M:$M,orders!$C:$C,A587)</f>
        <v>103.49999999999999</v>
      </c>
      <c r="G587" s="14" t="str">
        <f>INDEX(orders!$P:$P,MATCH(A587,orders!$C:$C,0))</f>
        <v>No</v>
      </c>
      <c r="H587" s="17">
        <f t="shared" si="56"/>
        <v>4</v>
      </c>
      <c r="I587" s="14">
        <f t="shared" si="57"/>
        <v>1</v>
      </c>
      <c r="J587">
        <f t="shared" si="58"/>
        <v>5</v>
      </c>
      <c r="K587" s="14">
        <f t="shared" si="59"/>
        <v>10</v>
      </c>
      <c r="L587" t="str">
        <f t="shared" si="60"/>
        <v>Recent High-Value (One-Time)</v>
      </c>
    </row>
    <row r="588" spans="1:12" x14ac:dyDescent="0.3">
      <c r="A588" s="12" t="s">
        <v>4110</v>
      </c>
      <c r="B588" s="14" t="str">
        <f>INDEX(orders!$F:$F,MATCH(A588,orders!$C:$C,0))</f>
        <v>Yardley Basill</v>
      </c>
      <c r="C588" s="15">
        <f>_xlfn.MAXIFS(orders!$B:$B,orders!$C:$C,A588)</f>
        <v>44448</v>
      </c>
      <c r="D588" s="14">
        <f t="shared" si="55"/>
        <v>345</v>
      </c>
      <c r="E588" s="14">
        <f>COUNTIFS(orders!$C:$C,A588)</f>
        <v>1</v>
      </c>
      <c r="F588" s="16">
        <f>SUMIFS(orders!$M:$M,orders!$C:$C,A588)</f>
        <v>35.849999999999994</v>
      </c>
      <c r="G588" s="14" t="str">
        <f>INDEX(orders!$P:$P,MATCH(A588,orders!$C:$C,0))</f>
        <v>Yes</v>
      </c>
      <c r="H588" s="17">
        <f t="shared" si="56"/>
        <v>4</v>
      </c>
      <c r="I588" s="14">
        <f t="shared" si="57"/>
        <v>1</v>
      </c>
      <c r="J588">
        <f t="shared" si="58"/>
        <v>3</v>
      </c>
      <c r="K588" s="14">
        <f t="shared" si="59"/>
        <v>8</v>
      </c>
      <c r="L588" t="str">
        <f t="shared" si="60"/>
        <v>Standard One-Time Buyers</v>
      </c>
    </row>
    <row r="589" spans="1:12" x14ac:dyDescent="0.3">
      <c r="A589" s="12" t="s">
        <v>6128</v>
      </c>
      <c r="B589" s="14" t="str">
        <f>INDEX(orders!$F:$F,MATCH(A589,orders!$C:$C,0))</f>
        <v>Nicolina Jenny</v>
      </c>
      <c r="C589" s="15">
        <f>_xlfn.MAXIFS(orders!$B:$B,orders!$C:$C,A589)</f>
        <v>44411</v>
      </c>
      <c r="D589" s="14">
        <f t="shared" si="55"/>
        <v>382</v>
      </c>
      <c r="E589" s="14">
        <f>COUNTIFS(orders!$C:$C,A589)</f>
        <v>1</v>
      </c>
      <c r="F589" s="16">
        <f>SUMIFS(orders!$M:$M,orders!$C:$C,A589)</f>
        <v>9.9499999999999993</v>
      </c>
      <c r="G589" s="14" t="str">
        <f>INDEX(orders!$P:$P,MATCH(A589,orders!$C:$C,0))</f>
        <v>No</v>
      </c>
      <c r="H589" s="17">
        <f t="shared" si="56"/>
        <v>4</v>
      </c>
      <c r="I589" s="14">
        <f t="shared" si="57"/>
        <v>1</v>
      </c>
      <c r="J589">
        <f t="shared" si="58"/>
        <v>1</v>
      </c>
      <c r="K589" s="14">
        <f t="shared" si="59"/>
        <v>6</v>
      </c>
      <c r="L589" t="str">
        <f t="shared" si="60"/>
        <v>Standard One-Time Buyers</v>
      </c>
    </row>
    <row r="590" spans="1:12" x14ac:dyDescent="0.3">
      <c r="A590" s="12" t="s">
        <v>4513</v>
      </c>
      <c r="B590" s="14" t="str">
        <f>INDEX(orders!$F:$F,MATCH(A590,orders!$C:$C,0))</f>
        <v>Silas Deehan</v>
      </c>
      <c r="C590" s="15">
        <f>_xlfn.MAXIFS(orders!$B:$B,orders!$C:$C,A590)</f>
        <v>43646</v>
      </c>
      <c r="D590" s="14">
        <f t="shared" si="55"/>
        <v>1147</v>
      </c>
      <c r="E590" s="14">
        <f>COUNTIFS(orders!$C:$C,A590)</f>
        <v>1</v>
      </c>
      <c r="F590" s="16">
        <f>SUMIFS(orders!$M:$M,orders!$C:$C,A590)</f>
        <v>16.5</v>
      </c>
      <c r="G590" s="14" t="str">
        <f>INDEX(orders!$P:$P,MATCH(A590,orders!$C:$C,0))</f>
        <v>No</v>
      </c>
      <c r="H590" s="17">
        <f t="shared" si="56"/>
        <v>1</v>
      </c>
      <c r="I590" s="14">
        <f t="shared" si="57"/>
        <v>1</v>
      </c>
      <c r="J590">
        <f t="shared" si="58"/>
        <v>2</v>
      </c>
      <c r="K590" s="14">
        <f t="shared" si="59"/>
        <v>4</v>
      </c>
      <c r="L590" t="str">
        <f t="shared" si="60"/>
        <v>Lapsed One-Time Buyers</v>
      </c>
    </row>
    <row r="591" spans="1:12" x14ac:dyDescent="0.3">
      <c r="A591" s="12" t="s">
        <v>525</v>
      </c>
      <c r="B591" s="14" t="str">
        <f>INDEX(orders!$F:$F,MATCH(A591,orders!$C:$C,0))</f>
        <v>Shaylynn Lobe</v>
      </c>
      <c r="C591" s="15">
        <f>_xlfn.MAXIFS(orders!$B:$B,orders!$C:$C,A591)</f>
        <v>44582</v>
      </c>
      <c r="D591" s="14">
        <f t="shared" si="55"/>
        <v>211</v>
      </c>
      <c r="E591" s="14">
        <f>COUNTIFS(orders!$C:$C,A591)</f>
        <v>1</v>
      </c>
      <c r="F591" s="16">
        <f>SUMIFS(orders!$M:$M,orders!$C:$C,A591)</f>
        <v>21.87</v>
      </c>
      <c r="G591" s="14" t="str">
        <f>INDEX(orders!$P:$P,MATCH(A591,orders!$C:$C,0))</f>
        <v>Yes</v>
      </c>
      <c r="H591" s="17">
        <f t="shared" si="56"/>
        <v>5</v>
      </c>
      <c r="I591" s="14">
        <f t="shared" si="57"/>
        <v>1</v>
      </c>
      <c r="J591">
        <f t="shared" si="58"/>
        <v>2</v>
      </c>
      <c r="K591" s="14">
        <f t="shared" si="59"/>
        <v>8</v>
      </c>
      <c r="L591" t="str">
        <f t="shared" si="60"/>
        <v>Standard One-Time Buyers</v>
      </c>
    </row>
    <row r="592" spans="1:12" x14ac:dyDescent="0.3">
      <c r="A592" s="12" t="s">
        <v>839</v>
      </c>
      <c r="B592" s="14" t="str">
        <f>INDEX(orders!$F:$F,MATCH(A592,orders!$C:$C,0))</f>
        <v>Nona Linklater</v>
      </c>
      <c r="C592" s="15">
        <f>_xlfn.MAXIFS(orders!$B:$B,orders!$C:$C,A592)</f>
        <v>43505</v>
      </c>
      <c r="D592" s="14">
        <f t="shared" si="55"/>
        <v>1288</v>
      </c>
      <c r="E592" s="14">
        <f>COUNTIFS(orders!$C:$C,A592)</f>
        <v>1</v>
      </c>
      <c r="F592" s="16">
        <f>SUMIFS(orders!$M:$M,orders!$C:$C,A592)</f>
        <v>23.774999999999999</v>
      </c>
      <c r="G592" s="14" t="str">
        <f>INDEX(orders!$P:$P,MATCH(A592,orders!$C:$C,0))</f>
        <v>Yes</v>
      </c>
      <c r="H592" s="17">
        <f t="shared" si="56"/>
        <v>1</v>
      </c>
      <c r="I592" s="14">
        <f t="shared" si="57"/>
        <v>1</v>
      </c>
      <c r="J592">
        <f t="shared" si="58"/>
        <v>2</v>
      </c>
      <c r="K592" s="14">
        <f t="shared" si="59"/>
        <v>4</v>
      </c>
      <c r="L592" t="str">
        <f t="shared" si="60"/>
        <v>Lapsed One-Time Buyers</v>
      </c>
    </row>
    <row r="593" spans="1:12" x14ac:dyDescent="0.3">
      <c r="A593" s="12" t="s">
        <v>5526</v>
      </c>
      <c r="B593" s="14" t="str">
        <f>INDEX(orders!$F:$F,MATCH(A593,orders!$C:$C,0))</f>
        <v>Kippie Marrison</v>
      </c>
      <c r="C593" s="15">
        <f>_xlfn.MAXIFS(orders!$B:$B,orders!$C:$C,A593)</f>
        <v>44646</v>
      </c>
      <c r="D593" s="14">
        <f t="shared" si="55"/>
        <v>147</v>
      </c>
      <c r="E593" s="14">
        <f>COUNTIFS(orders!$C:$C,A593)</f>
        <v>2</v>
      </c>
      <c r="F593" s="16">
        <f>SUMIFS(orders!$M:$M,orders!$C:$C,A593)</f>
        <v>135.01</v>
      </c>
      <c r="G593" s="14" t="str">
        <f>INDEX(orders!$P:$P,MATCH(A593,orders!$C:$C,0))</f>
        <v>Yes</v>
      </c>
      <c r="H593" s="17">
        <f t="shared" si="56"/>
        <v>5</v>
      </c>
      <c r="I593" s="14">
        <f t="shared" si="57"/>
        <v>3</v>
      </c>
      <c r="J593">
        <f t="shared" si="58"/>
        <v>5</v>
      </c>
      <c r="K593" s="14">
        <f t="shared" si="59"/>
        <v>13</v>
      </c>
      <c r="L593" t="str">
        <f t="shared" si="60"/>
        <v>Loyal Repeat Customers</v>
      </c>
    </row>
    <row r="594" spans="1:12" x14ac:dyDescent="0.3">
      <c r="A594" s="12" t="s">
        <v>5397</v>
      </c>
      <c r="B594" s="14" t="str">
        <f>INDEX(orders!$F:$F,MATCH(A594,orders!$C:$C,0))</f>
        <v>Margie Palleske</v>
      </c>
      <c r="C594" s="15">
        <f>_xlfn.MAXIFS(orders!$B:$B,orders!$C:$C,A594)</f>
        <v>43526</v>
      </c>
      <c r="D594" s="14">
        <f t="shared" si="55"/>
        <v>1267</v>
      </c>
      <c r="E594" s="14">
        <f>COUNTIFS(orders!$C:$C,A594)</f>
        <v>1</v>
      </c>
      <c r="F594" s="16">
        <f>SUMIFS(orders!$M:$M,orders!$C:$C,A594)</f>
        <v>41.25</v>
      </c>
      <c r="G594" s="14" t="str">
        <f>INDEX(orders!$P:$P,MATCH(A594,orders!$C:$C,0))</f>
        <v>Yes</v>
      </c>
      <c r="H594" s="17">
        <f t="shared" si="56"/>
        <v>1</v>
      </c>
      <c r="I594" s="14">
        <f t="shared" si="57"/>
        <v>1</v>
      </c>
      <c r="J594">
        <f t="shared" si="58"/>
        <v>3</v>
      </c>
      <c r="K594" s="14">
        <f t="shared" si="59"/>
        <v>5</v>
      </c>
      <c r="L594" t="str">
        <f t="shared" si="60"/>
        <v>Lapsed One-Time Buyers</v>
      </c>
    </row>
    <row r="595" spans="1:12" x14ac:dyDescent="0.3">
      <c r="A595" s="12" t="s">
        <v>1545</v>
      </c>
      <c r="B595" s="14" t="str">
        <f>INDEX(orders!$F:$F,MATCH(A595,orders!$C:$C,0))</f>
        <v>Lawrence Pratt</v>
      </c>
      <c r="C595" s="15">
        <f>_xlfn.MAXIFS(orders!$B:$B,orders!$C:$C,A595)</f>
        <v>44633</v>
      </c>
      <c r="D595" s="14">
        <f t="shared" si="55"/>
        <v>160</v>
      </c>
      <c r="E595" s="14">
        <f>COUNTIFS(orders!$C:$C,A595)</f>
        <v>1</v>
      </c>
      <c r="F595" s="16">
        <f>SUMIFS(orders!$M:$M,orders!$C:$C,A595)</f>
        <v>43.650000000000006</v>
      </c>
      <c r="G595" s="14" t="str">
        <f>INDEX(orders!$P:$P,MATCH(A595,orders!$C:$C,0))</f>
        <v>Yes</v>
      </c>
      <c r="H595" s="17">
        <f t="shared" si="56"/>
        <v>5</v>
      </c>
      <c r="I595" s="14">
        <f t="shared" si="57"/>
        <v>1</v>
      </c>
      <c r="J595">
        <f t="shared" si="58"/>
        <v>4</v>
      </c>
      <c r="K595" s="14">
        <f t="shared" si="59"/>
        <v>10</v>
      </c>
      <c r="L595" t="str">
        <f t="shared" si="60"/>
        <v>Recent High-Value (One-Time)</v>
      </c>
    </row>
    <row r="596" spans="1:12" x14ac:dyDescent="0.3">
      <c r="A596" s="12" t="s">
        <v>6054</v>
      </c>
      <c r="B596" s="14" t="str">
        <f>INDEX(orders!$F:$F,MATCH(A596,orders!$C:$C,0))</f>
        <v>Ramon Cheak</v>
      </c>
      <c r="C596" s="15">
        <f>_xlfn.MAXIFS(orders!$B:$B,orders!$C:$C,A596)</f>
        <v>44214</v>
      </c>
      <c r="D596" s="14">
        <f t="shared" si="55"/>
        <v>579</v>
      </c>
      <c r="E596" s="14">
        <f>COUNTIFS(orders!$C:$C,A596)</f>
        <v>1</v>
      </c>
      <c r="F596" s="16">
        <f>SUMIFS(orders!$M:$M,orders!$C:$C,A596)</f>
        <v>31.624999999999996</v>
      </c>
      <c r="G596" s="14" t="str">
        <f>INDEX(orders!$P:$P,MATCH(A596,orders!$C:$C,0))</f>
        <v>Yes</v>
      </c>
      <c r="H596" s="17">
        <f t="shared" si="56"/>
        <v>3</v>
      </c>
      <c r="I596" s="14">
        <f t="shared" si="57"/>
        <v>1</v>
      </c>
      <c r="J596">
        <f t="shared" si="58"/>
        <v>3</v>
      </c>
      <c r="K596" s="14">
        <f t="shared" si="59"/>
        <v>7</v>
      </c>
      <c r="L596" t="str">
        <f t="shared" si="60"/>
        <v>Standard One-Time Buyers</v>
      </c>
    </row>
    <row r="597" spans="1:12" x14ac:dyDescent="0.3">
      <c r="A597" s="12" t="s">
        <v>3448</v>
      </c>
      <c r="B597" s="14" t="str">
        <f>INDEX(orders!$F:$F,MATCH(A597,orders!$C:$C,0))</f>
        <v>Berty Beelby</v>
      </c>
      <c r="C597" s="15">
        <f>_xlfn.MAXIFS(orders!$B:$B,orders!$C:$C,A597)</f>
        <v>44129</v>
      </c>
      <c r="D597" s="14">
        <f t="shared" si="55"/>
        <v>664</v>
      </c>
      <c r="E597" s="14">
        <f>COUNTIFS(orders!$C:$C,A597)</f>
        <v>1</v>
      </c>
      <c r="F597" s="16">
        <f>SUMIFS(orders!$M:$M,orders!$C:$C,A597)</f>
        <v>29.784999999999997</v>
      </c>
      <c r="G597" s="14" t="str">
        <f>INDEX(orders!$P:$P,MATCH(A597,orders!$C:$C,0))</f>
        <v>No</v>
      </c>
      <c r="H597" s="17">
        <f t="shared" si="56"/>
        <v>3</v>
      </c>
      <c r="I597" s="14">
        <f t="shared" si="57"/>
        <v>1</v>
      </c>
      <c r="J597">
        <f t="shared" si="58"/>
        <v>3</v>
      </c>
      <c r="K597" s="14">
        <f t="shared" si="59"/>
        <v>7</v>
      </c>
      <c r="L597" t="str">
        <f t="shared" si="60"/>
        <v>Standard One-Time Buyers</v>
      </c>
    </row>
    <row r="598" spans="1:12" x14ac:dyDescent="0.3">
      <c r="A598" s="12" t="s">
        <v>3867</v>
      </c>
      <c r="B598" s="14" t="str">
        <f>INDEX(orders!$F:$F,MATCH(A598,orders!$C:$C,0))</f>
        <v>Krissie Hammett</v>
      </c>
      <c r="C598" s="15">
        <f>_xlfn.MAXIFS(orders!$B:$B,orders!$C:$C,A598)</f>
        <v>43471</v>
      </c>
      <c r="D598" s="14">
        <f t="shared" si="55"/>
        <v>1322</v>
      </c>
      <c r="E598" s="14">
        <f>COUNTIFS(orders!$C:$C,A598)</f>
        <v>1</v>
      </c>
      <c r="F598" s="16">
        <f>SUMIFS(orders!$M:$M,orders!$C:$C,A598)</f>
        <v>11.94</v>
      </c>
      <c r="G598" s="14" t="str">
        <f>INDEX(orders!$P:$P,MATCH(A598,orders!$C:$C,0))</f>
        <v>Yes</v>
      </c>
      <c r="H598" s="17">
        <f t="shared" si="56"/>
        <v>1</v>
      </c>
      <c r="I598" s="14">
        <f t="shared" si="57"/>
        <v>1</v>
      </c>
      <c r="J598">
        <f t="shared" si="58"/>
        <v>1</v>
      </c>
      <c r="K598" s="14">
        <f t="shared" si="59"/>
        <v>3</v>
      </c>
      <c r="L598" t="str">
        <f t="shared" si="60"/>
        <v>Lapsed One-Time Buyers</v>
      </c>
    </row>
    <row r="599" spans="1:12" x14ac:dyDescent="0.3">
      <c r="A599" s="12" t="s">
        <v>2103</v>
      </c>
      <c r="B599" s="14" t="str">
        <f>INDEX(orders!$F:$F,MATCH(A599,orders!$C:$C,0))</f>
        <v>Lyndsey Megany</v>
      </c>
      <c r="C599" s="15">
        <f>_xlfn.MAXIFS(orders!$B:$B,orders!$C:$C,A599)</f>
        <v>44030</v>
      </c>
      <c r="D599" s="14">
        <f t="shared" si="55"/>
        <v>763</v>
      </c>
      <c r="E599" s="14">
        <f>COUNTIFS(orders!$C:$C,A599)</f>
        <v>1</v>
      </c>
      <c r="F599" s="16">
        <f>SUMIFS(orders!$M:$M,orders!$C:$C,A599)</f>
        <v>36.454999999999998</v>
      </c>
      <c r="G599" s="14" t="str">
        <f>INDEX(orders!$P:$P,MATCH(A599,orders!$C:$C,0))</f>
        <v>No</v>
      </c>
      <c r="H599" s="17">
        <f t="shared" si="56"/>
        <v>3</v>
      </c>
      <c r="I599" s="14">
        <f t="shared" si="57"/>
        <v>1</v>
      </c>
      <c r="J599">
        <f t="shared" si="58"/>
        <v>3</v>
      </c>
      <c r="K599" s="14">
        <f t="shared" si="59"/>
        <v>7</v>
      </c>
      <c r="L599" t="str">
        <f t="shared" si="60"/>
        <v>Standard One-Time Buyers</v>
      </c>
    </row>
    <row r="600" spans="1:12" x14ac:dyDescent="0.3">
      <c r="A600" s="12" t="s">
        <v>3368</v>
      </c>
      <c r="B600" s="14" t="str">
        <f>INDEX(orders!$F:$F,MATCH(A600,orders!$C:$C,0))</f>
        <v>Marja Urion</v>
      </c>
      <c r="C600" s="15">
        <f>_xlfn.MAXIFS(orders!$B:$B,orders!$C:$C,A600)</f>
        <v>44506</v>
      </c>
      <c r="D600" s="14">
        <f t="shared" si="55"/>
        <v>287</v>
      </c>
      <c r="E600" s="14">
        <f>COUNTIFS(orders!$C:$C,A600)</f>
        <v>5</v>
      </c>
      <c r="F600" s="16">
        <f>SUMIFS(orders!$M:$M,orders!$C:$C,A600)</f>
        <v>158.995</v>
      </c>
      <c r="G600" s="14" t="str">
        <f>INDEX(orders!$P:$P,MATCH(A600,orders!$C:$C,0))</f>
        <v>Yes</v>
      </c>
      <c r="H600" s="17">
        <f t="shared" si="56"/>
        <v>4</v>
      </c>
      <c r="I600" s="14">
        <f t="shared" si="57"/>
        <v>5</v>
      </c>
      <c r="J600">
        <f t="shared" si="58"/>
        <v>5</v>
      </c>
      <c r="K600" s="14">
        <f t="shared" si="59"/>
        <v>14</v>
      </c>
      <c r="L600" t="str">
        <f t="shared" si="60"/>
        <v>Loyal Repeat Customers</v>
      </c>
    </row>
    <row r="601" spans="1:12" x14ac:dyDescent="0.3">
      <c r="A601" s="12" t="s">
        <v>1135</v>
      </c>
      <c r="B601" s="14" t="str">
        <f>INDEX(orders!$F:$F,MATCH(A601,orders!$C:$C,0))</f>
        <v>Ingeberg Mulliner</v>
      </c>
      <c r="C601" s="15">
        <f>_xlfn.MAXIFS(orders!$B:$B,orders!$C:$C,A601)</f>
        <v>43693</v>
      </c>
      <c r="D601" s="14">
        <f t="shared" si="55"/>
        <v>1100</v>
      </c>
      <c r="E601" s="14">
        <f>COUNTIFS(orders!$C:$C,A601)</f>
        <v>1</v>
      </c>
      <c r="F601" s="16">
        <f>SUMIFS(orders!$M:$M,orders!$C:$C,A601)</f>
        <v>15.85</v>
      </c>
      <c r="G601" s="14" t="str">
        <f>INDEX(orders!$P:$P,MATCH(A601,orders!$C:$C,0))</f>
        <v>No</v>
      </c>
      <c r="H601" s="17">
        <f t="shared" si="56"/>
        <v>1</v>
      </c>
      <c r="I601" s="14">
        <f t="shared" si="57"/>
        <v>1</v>
      </c>
      <c r="J601">
        <f t="shared" si="58"/>
        <v>2</v>
      </c>
      <c r="K601" s="14">
        <f t="shared" si="59"/>
        <v>4</v>
      </c>
      <c r="L601" t="str">
        <f t="shared" si="60"/>
        <v>Lapsed One-Time Buyers</v>
      </c>
    </row>
    <row r="602" spans="1:12" x14ac:dyDescent="0.3">
      <c r="A602" s="12" t="s">
        <v>4804</v>
      </c>
      <c r="B602" s="14" t="str">
        <f>INDEX(orders!$F:$F,MATCH(A602,orders!$C:$C,0))</f>
        <v>Sarajane Potter</v>
      </c>
      <c r="C602" s="15">
        <f>_xlfn.MAXIFS(orders!$B:$B,orders!$C:$C,A602)</f>
        <v>44587</v>
      </c>
      <c r="D602" s="14">
        <f t="shared" si="55"/>
        <v>206</v>
      </c>
      <c r="E602" s="14">
        <f>COUNTIFS(orders!$C:$C,A602)</f>
        <v>1</v>
      </c>
      <c r="F602" s="16">
        <f>SUMIFS(orders!$M:$M,orders!$C:$C,A602)</f>
        <v>23.31</v>
      </c>
      <c r="G602" s="14" t="str">
        <f>INDEX(orders!$P:$P,MATCH(A602,orders!$C:$C,0))</f>
        <v>No</v>
      </c>
      <c r="H602" s="17">
        <f t="shared" si="56"/>
        <v>5</v>
      </c>
      <c r="I602" s="14">
        <f t="shared" si="57"/>
        <v>1</v>
      </c>
      <c r="J602">
        <f t="shared" si="58"/>
        <v>2</v>
      </c>
      <c r="K602" s="14">
        <f t="shared" si="59"/>
        <v>8</v>
      </c>
      <c r="L602" t="str">
        <f t="shared" si="60"/>
        <v>Standard One-Time Buyers</v>
      </c>
    </row>
    <row r="603" spans="1:12" x14ac:dyDescent="0.3">
      <c r="A603" s="12" t="s">
        <v>4472</v>
      </c>
      <c r="B603" s="14" t="str">
        <f>INDEX(orders!$F:$F,MATCH(A603,orders!$C:$C,0))</f>
        <v>Shelley Gehring</v>
      </c>
      <c r="C603" s="15">
        <f>_xlfn.MAXIFS(orders!$B:$B,orders!$C:$C,A603)</f>
        <v>44114</v>
      </c>
      <c r="D603" s="14">
        <f t="shared" si="55"/>
        <v>679</v>
      </c>
      <c r="E603" s="14">
        <f>COUNTIFS(orders!$C:$C,A603)</f>
        <v>1</v>
      </c>
      <c r="F603" s="16">
        <f>SUMIFS(orders!$M:$M,orders!$C:$C,A603)</f>
        <v>17.82</v>
      </c>
      <c r="G603" s="14" t="str">
        <f>INDEX(orders!$P:$P,MATCH(A603,orders!$C:$C,0))</f>
        <v>No</v>
      </c>
      <c r="H603" s="17">
        <f t="shared" si="56"/>
        <v>3</v>
      </c>
      <c r="I603" s="14">
        <f t="shared" si="57"/>
        <v>1</v>
      </c>
      <c r="J603">
        <f t="shared" si="58"/>
        <v>2</v>
      </c>
      <c r="K603" s="14">
        <f t="shared" si="59"/>
        <v>6</v>
      </c>
      <c r="L603" t="str">
        <f t="shared" si="60"/>
        <v>Standard One-Time Buyers</v>
      </c>
    </row>
    <row r="604" spans="1:12" x14ac:dyDescent="0.3">
      <c r="A604" s="12" t="s">
        <v>1622</v>
      </c>
      <c r="B604" s="14" t="str">
        <f>INDEX(orders!$F:$F,MATCH(A604,orders!$C:$C,0))</f>
        <v>Adriana Lazarus</v>
      </c>
      <c r="C604" s="15">
        <f>_xlfn.MAXIFS(orders!$B:$B,orders!$C:$C,A604)</f>
        <v>44294</v>
      </c>
      <c r="D604" s="14">
        <f t="shared" si="55"/>
        <v>499</v>
      </c>
      <c r="E604" s="14">
        <f>COUNTIFS(orders!$C:$C,A604)</f>
        <v>1</v>
      </c>
      <c r="F604" s="16">
        <f>SUMIFS(orders!$M:$M,orders!$C:$C,A604)</f>
        <v>57.06</v>
      </c>
      <c r="G604" s="14" t="str">
        <f>INDEX(orders!$P:$P,MATCH(A604,orders!$C:$C,0))</f>
        <v>No</v>
      </c>
      <c r="H604" s="17">
        <f t="shared" si="56"/>
        <v>4</v>
      </c>
      <c r="I604" s="14">
        <f t="shared" si="57"/>
        <v>1</v>
      </c>
      <c r="J604">
        <f t="shared" si="58"/>
        <v>4</v>
      </c>
      <c r="K604" s="14">
        <f t="shared" si="59"/>
        <v>9</v>
      </c>
      <c r="L604" t="str">
        <f t="shared" si="60"/>
        <v>Recent High-Value (One-Time)</v>
      </c>
    </row>
    <row r="605" spans="1:12" x14ac:dyDescent="0.3">
      <c r="A605" s="12" t="s">
        <v>1504</v>
      </c>
      <c r="B605" s="14" t="str">
        <f>INDEX(orders!$F:$F,MATCH(A605,orders!$C:$C,0))</f>
        <v>Abrahan Mussen</v>
      </c>
      <c r="C605" s="15">
        <f>_xlfn.MAXIFS(orders!$B:$B,orders!$C:$C,A605)</f>
        <v>43910</v>
      </c>
      <c r="D605" s="14">
        <f t="shared" si="55"/>
        <v>883</v>
      </c>
      <c r="E605" s="14">
        <f>COUNTIFS(orders!$C:$C,A605)</f>
        <v>2</v>
      </c>
      <c r="F605" s="16">
        <f>SUMIFS(orders!$M:$M,orders!$C:$C,A605)</f>
        <v>52.125</v>
      </c>
      <c r="G605" s="14" t="str">
        <f>INDEX(orders!$P:$P,MATCH(A605,orders!$C:$C,0))</f>
        <v>No</v>
      </c>
      <c r="H605" s="17">
        <f t="shared" si="56"/>
        <v>2</v>
      </c>
      <c r="I605" s="14">
        <f t="shared" si="57"/>
        <v>3</v>
      </c>
      <c r="J605">
        <f t="shared" si="58"/>
        <v>4</v>
      </c>
      <c r="K605" s="14">
        <f t="shared" si="59"/>
        <v>9</v>
      </c>
      <c r="L605" t="str">
        <f t="shared" si="60"/>
        <v>At-Risk Repeat Customers</v>
      </c>
    </row>
    <row r="606" spans="1:12" x14ac:dyDescent="0.3">
      <c r="A606" s="12" t="s">
        <v>3506</v>
      </c>
      <c r="B606" s="14" t="str">
        <f>INDEX(orders!$F:$F,MATCH(A606,orders!$C:$C,0))</f>
        <v>Rea Offell</v>
      </c>
      <c r="C606" s="15">
        <f>_xlfn.MAXIFS(orders!$B:$B,orders!$C:$C,A606)</f>
        <v>44724</v>
      </c>
      <c r="D606" s="14">
        <f t="shared" si="55"/>
        <v>69</v>
      </c>
      <c r="E606" s="14">
        <f>COUNTIFS(orders!$C:$C,A606)</f>
        <v>1</v>
      </c>
      <c r="F606" s="16">
        <f>SUMIFS(orders!$M:$M,orders!$C:$C,A606)</f>
        <v>21.479999999999997</v>
      </c>
      <c r="G606" s="14" t="str">
        <f>INDEX(orders!$P:$P,MATCH(A606,orders!$C:$C,0))</f>
        <v>No</v>
      </c>
      <c r="H606" s="17">
        <f t="shared" si="56"/>
        <v>5</v>
      </c>
      <c r="I606" s="14">
        <f t="shared" si="57"/>
        <v>1</v>
      </c>
      <c r="J606">
        <f t="shared" si="58"/>
        <v>2</v>
      </c>
      <c r="K606" s="14">
        <f t="shared" si="59"/>
        <v>8</v>
      </c>
      <c r="L606" t="str">
        <f t="shared" si="60"/>
        <v>Standard One-Time Buyers</v>
      </c>
    </row>
    <row r="607" spans="1:12" x14ac:dyDescent="0.3">
      <c r="A607" s="12" t="s">
        <v>1585</v>
      </c>
      <c r="B607" s="14" t="str">
        <f>INDEX(orders!$F:$F,MATCH(A607,orders!$C:$C,0))</f>
        <v>Emlynne Laird</v>
      </c>
      <c r="C607" s="15">
        <f>_xlfn.MAXIFS(orders!$B:$B,orders!$C:$C,A607)</f>
        <v>44398</v>
      </c>
      <c r="D607" s="14">
        <f t="shared" si="55"/>
        <v>395</v>
      </c>
      <c r="E607" s="14">
        <f>COUNTIFS(orders!$C:$C,A607)</f>
        <v>1</v>
      </c>
      <c r="F607" s="16">
        <f>SUMIFS(orders!$M:$M,orders!$C:$C,A607)</f>
        <v>36.450000000000003</v>
      </c>
      <c r="G607" s="14" t="str">
        <f>INDEX(orders!$P:$P,MATCH(A607,orders!$C:$C,0))</f>
        <v>No</v>
      </c>
      <c r="H607" s="17">
        <f t="shared" si="56"/>
        <v>4</v>
      </c>
      <c r="I607" s="14">
        <f t="shared" si="57"/>
        <v>1</v>
      </c>
      <c r="J607">
        <f t="shared" si="58"/>
        <v>3</v>
      </c>
      <c r="K607" s="14">
        <f t="shared" si="59"/>
        <v>8</v>
      </c>
      <c r="L607" t="str">
        <f t="shared" si="60"/>
        <v>Standard One-Time Buyers</v>
      </c>
    </row>
    <row r="608" spans="1:12" x14ac:dyDescent="0.3">
      <c r="A608" s="12" t="s">
        <v>2128</v>
      </c>
      <c r="B608" s="14" t="str">
        <f>INDEX(orders!$F:$F,MATCH(A608,orders!$C:$C,0))</f>
        <v>Domeniga Duke</v>
      </c>
      <c r="C608" s="15">
        <f>_xlfn.MAXIFS(orders!$B:$B,orders!$C:$C,A608)</f>
        <v>44497</v>
      </c>
      <c r="D608" s="14">
        <f t="shared" si="55"/>
        <v>296</v>
      </c>
      <c r="E608" s="14">
        <f>COUNTIFS(orders!$C:$C,A608)</f>
        <v>1</v>
      </c>
      <c r="F608" s="16">
        <f>SUMIFS(orders!$M:$M,orders!$C:$C,A608)</f>
        <v>49.75</v>
      </c>
      <c r="G608" s="14" t="str">
        <f>INDEX(orders!$P:$P,MATCH(A608,orders!$C:$C,0))</f>
        <v>No</v>
      </c>
      <c r="H608" s="17">
        <f t="shared" si="56"/>
        <v>4</v>
      </c>
      <c r="I608" s="14">
        <f t="shared" si="57"/>
        <v>1</v>
      </c>
      <c r="J608">
        <f t="shared" si="58"/>
        <v>4</v>
      </c>
      <c r="K608" s="14">
        <f t="shared" si="59"/>
        <v>9</v>
      </c>
      <c r="L608" t="str">
        <f t="shared" si="60"/>
        <v>Recent High-Value (One-Time)</v>
      </c>
    </row>
    <row r="609" spans="1:12" x14ac:dyDescent="0.3">
      <c r="A609" s="12" t="s">
        <v>3054</v>
      </c>
      <c r="B609" s="14" t="str">
        <f>INDEX(orders!$F:$F,MATCH(A609,orders!$C:$C,0))</f>
        <v>Reube Cawley</v>
      </c>
      <c r="C609" s="15">
        <f>_xlfn.MAXIFS(orders!$B:$B,orders!$C:$C,A609)</f>
        <v>44421</v>
      </c>
      <c r="D609" s="14">
        <f t="shared" si="55"/>
        <v>372</v>
      </c>
      <c r="E609" s="14">
        <f>COUNTIFS(orders!$C:$C,A609)</f>
        <v>1</v>
      </c>
      <c r="F609" s="16">
        <f>SUMIFS(orders!$M:$M,orders!$C:$C,A609)</f>
        <v>82.339999999999989</v>
      </c>
      <c r="G609" s="14" t="str">
        <f>INDEX(orders!$P:$P,MATCH(A609,orders!$C:$C,0))</f>
        <v>Yes</v>
      </c>
      <c r="H609" s="17">
        <f t="shared" si="56"/>
        <v>4</v>
      </c>
      <c r="I609" s="14">
        <f t="shared" si="57"/>
        <v>1</v>
      </c>
      <c r="J609">
        <f t="shared" si="58"/>
        <v>5</v>
      </c>
      <c r="K609" s="14">
        <f t="shared" si="59"/>
        <v>10</v>
      </c>
      <c r="L609" t="str">
        <f t="shared" si="60"/>
        <v>Recent High-Value (One-Time)</v>
      </c>
    </row>
    <row r="610" spans="1:12" x14ac:dyDescent="0.3">
      <c r="A610" s="12" t="s">
        <v>4854</v>
      </c>
      <c r="B610" s="14" t="str">
        <f>INDEX(orders!$F:$F,MATCH(A610,orders!$C:$C,0))</f>
        <v>Mellisa Mebes</v>
      </c>
      <c r="C610" s="15">
        <f>_xlfn.MAXIFS(orders!$B:$B,orders!$C:$C,A610)</f>
        <v>44468</v>
      </c>
      <c r="D610" s="14">
        <f t="shared" si="55"/>
        <v>325</v>
      </c>
      <c r="E610" s="14">
        <f>COUNTIFS(orders!$C:$C,A610)</f>
        <v>1</v>
      </c>
      <c r="F610" s="16">
        <f>SUMIFS(orders!$M:$M,orders!$C:$C,A610)</f>
        <v>82.5</v>
      </c>
      <c r="G610" s="14" t="str">
        <f>INDEX(orders!$P:$P,MATCH(A610,orders!$C:$C,0))</f>
        <v>No</v>
      </c>
      <c r="H610" s="17">
        <f t="shared" si="56"/>
        <v>4</v>
      </c>
      <c r="I610" s="14">
        <f t="shared" si="57"/>
        <v>1</v>
      </c>
      <c r="J610">
        <f t="shared" si="58"/>
        <v>5</v>
      </c>
      <c r="K610" s="14">
        <f t="shared" si="59"/>
        <v>10</v>
      </c>
      <c r="L610" t="str">
        <f t="shared" si="60"/>
        <v>Recent High-Value (One-Time)</v>
      </c>
    </row>
    <row r="611" spans="1:12" x14ac:dyDescent="0.3">
      <c r="A611" s="12" t="s">
        <v>3319</v>
      </c>
      <c r="B611" s="14" t="str">
        <f>INDEX(orders!$F:$F,MATCH(A611,orders!$C:$C,0))</f>
        <v>Alf Housaman</v>
      </c>
      <c r="C611" s="15">
        <f>_xlfn.MAXIFS(orders!$B:$B,orders!$C:$C,A611)</f>
        <v>44025</v>
      </c>
      <c r="D611" s="14">
        <f t="shared" si="55"/>
        <v>768</v>
      </c>
      <c r="E611" s="14">
        <f>COUNTIFS(orders!$C:$C,A611)</f>
        <v>1</v>
      </c>
      <c r="F611" s="16">
        <f>SUMIFS(orders!$M:$M,orders!$C:$C,A611)</f>
        <v>47.8</v>
      </c>
      <c r="G611" s="14" t="str">
        <f>INDEX(orders!$P:$P,MATCH(A611,orders!$C:$C,0))</f>
        <v>No</v>
      </c>
      <c r="H611" s="17">
        <f t="shared" si="56"/>
        <v>2</v>
      </c>
      <c r="I611" s="14">
        <f t="shared" si="57"/>
        <v>1</v>
      </c>
      <c r="J611">
        <f t="shared" si="58"/>
        <v>4</v>
      </c>
      <c r="K611" s="14">
        <f t="shared" si="59"/>
        <v>7</v>
      </c>
      <c r="L611" t="str">
        <f t="shared" si="60"/>
        <v>Lapsed One-Time Buyers</v>
      </c>
    </row>
    <row r="612" spans="1:12" x14ac:dyDescent="0.3">
      <c r="A612" s="12" t="s">
        <v>2867</v>
      </c>
      <c r="B612" s="14" t="str">
        <f>INDEX(orders!$F:$F,MATCH(A612,orders!$C:$C,0))</f>
        <v>Nevins Glowacz</v>
      </c>
      <c r="C612" s="15">
        <f>_xlfn.MAXIFS(orders!$B:$B,orders!$C:$C,A612)</f>
        <v>43868</v>
      </c>
      <c r="D612" s="14">
        <f t="shared" si="55"/>
        <v>925</v>
      </c>
      <c r="E612" s="14">
        <f>COUNTIFS(orders!$C:$C,A612)</f>
        <v>1</v>
      </c>
      <c r="F612" s="16">
        <f>SUMIFS(orders!$M:$M,orders!$C:$C,A612)</f>
        <v>29.849999999999998</v>
      </c>
      <c r="G612" s="14" t="str">
        <f>INDEX(orders!$P:$P,MATCH(A612,orders!$C:$C,0))</f>
        <v>No</v>
      </c>
      <c r="H612" s="17">
        <f t="shared" si="56"/>
        <v>2</v>
      </c>
      <c r="I612" s="14">
        <f t="shared" si="57"/>
        <v>1</v>
      </c>
      <c r="J612">
        <f t="shared" si="58"/>
        <v>3</v>
      </c>
      <c r="K612" s="14">
        <f t="shared" si="59"/>
        <v>6</v>
      </c>
      <c r="L612" t="str">
        <f t="shared" si="60"/>
        <v>Lapsed One-Time Buyers</v>
      </c>
    </row>
    <row r="613" spans="1:12" x14ac:dyDescent="0.3">
      <c r="A613" s="12" t="s">
        <v>4523</v>
      </c>
      <c r="B613" s="14" t="str">
        <f>INDEX(orders!$F:$F,MATCH(A613,orders!$C:$C,0))</f>
        <v>Alon Pllu</v>
      </c>
      <c r="C613" s="15">
        <f>_xlfn.MAXIFS(orders!$B:$B,orders!$C:$C,A613)</f>
        <v>44358</v>
      </c>
      <c r="D613" s="14">
        <f t="shared" si="55"/>
        <v>435</v>
      </c>
      <c r="E613" s="14">
        <f>COUNTIFS(orders!$C:$C,A613)</f>
        <v>1</v>
      </c>
      <c r="F613" s="16">
        <f>SUMIFS(orders!$M:$M,orders!$C:$C,A613)</f>
        <v>14.58</v>
      </c>
      <c r="G613" s="14" t="str">
        <f>INDEX(orders!$P:$P,MATCH(A613,orders!$C:$C,0))</f>
        <v>Yes</v>
      </c>
      <c r="H613" s="17">
        <f t="shared" si="56"/>
        <v>4</v>
      </c>
      <c r="I613" s="14">
        <f t="shared" si="57"/>
        <v>1</v>
      </c>
      <c r="J613">
        <f t="shared" si="58"/>
        <v>2</v>
      </c>
      <c r="K613" s="14">
        <f t="shared" si="59"/>
        <v>7</v>
      </c>
      <c r="L613" t="str">
        <f t="shared" si="60"/>
        <v>Standard One-Time Buyers</v>
      </c>
    </row>
    <row r="614" spans="1:12" x14ac:dyDescent="0.3">
      <c r="A614" s="12" t="s">
        <v>3528</v>
      </c>
      <c r="B614" s="14" t="str">
        <f>INDEX(orders!$F:$F,MATCH(A614,orders!$C:$C,0))</f>
        <v>Hildegarde Brangan</v>
      </c>
      <c r="C614" s="15">
        <f>_xlfn.MAXIFS(orders!$B:$B,orders!$C:$C,A614)</f>
        <v>44156</v>
      </c>
      <c r="D614" s="14">
        <f t="shared" si="55"/>
        <v>637</v>
      </c>
      <c r="E614" s="14">
        <f>COUNTIFS(orders!$C:$C,A614)</f>
        <v>1</v>
      </c>
      <c r="F614" s="16">
        <f>SUMIFS(orders!$M:$M,orders!$C:$C,A614)</f>
        <v>111.78</v>
      </c>
      <c r="G614" s="14" t="str">
        <f>INDEX(orders!$P:$P,MATCH(A614,orders!$C:$C,0))</f>
        <v>Yes</v>
      </c>
      <c r="H614" s="17">
        <f t="shared" si="56"/>
        <v>3</v>
      </c>
      <c r="I614" s="14">
        <f t="shared" si="57"/>
        <v>1</v>
      </c>
      <c r="J614">
        <f t="shared" si="58"/>
        <v>5</v>
      </c>
      <c r="K614" s="14">
        <f t="shared" si="59"/>
        <v>9</v>
      </c>
      <c r="L614" t="str">
        <f t="shared" si="60"/>
        <v>Standard One-Time Buyers</v>
      </c>
    </row>
    <row r="615" spans="1:12" x14ac:dyDescent="0.3">
      <c r="A615" s="12" t="s">
        <v>5598</v>
      </c>
      <c r="B615" s="14" t="str">
        <f>INDEX(orders!$F:$F,MATCH(A615,orders!$C:$C,0))</f>
        <v>Berkly Imrie</v>
      </c>
      <c r="C615" s="15">
        <f>_xlfn.MAXIFS(orders!$B:$B,orders!$C:$C,A615)</f>
        <v>43905</v>
      </c>
      <c r="D615" s="14">
        <f t="shared" si="55"/>
        <v>888</v>
      </c>
      <c r="E615" s="14">
        <f>COUNTIFS(orders!$C:$C,A615)</f>
        <v>1</v>
      </c>
      <c r="F615" s="16">
        <f>SUMIFS(orders!$M:$M,orders!$C:$C,A615)</f>
        <v>17.46</v>
      </c>
      <c r="G615" s="14" t="str">
        <f>INDEX(orders!$P:$P,MATCH(A615,orders!$C:$C,0))</f>
        <v>No</v>
      </c>
      <c r="H615" s="17">
        <f t="shared" si="56"/>
        <v>2</v>
      </c>
      <c r="I615" s="14">
        <f t="shared" si="57"/>
        <v>1</v>
      </c>
      <c r="J615">
        <f t="shared" si="58"/>
        <v>2</v>
      </c>
      <c r="K615" s="14">
        <f t="shared" si="59"/>
        <v>5</v>
      </c>
      <c r="L615" t="str">
        <f t="shared" si="60"/>
        <v>Lapsed One-Time Buyers</v>
      </c>
    </row>
    <row r="616" spans="1:12" x14ac:dyDescent="0.3">
      <c r="A616" s="12" t="s">
        <v>5502</v>
      </c>
      <c r="B616" s="14" t="str">
        <f>INDEX(orders!$F:$F,MATCH(A616,orders!$C:$C,0))</f>
        <v>Marty Scholl</v>
      </c>
      <c r="C616" s="15">
        <f>_xlfn.MAXIFS(orders!$B:$B,orders!$C:$C,A616)</f>
        <v>44518</v>
      </c>
      <c r="D616" s="14">
        <f t="shared" si="55"/>
        <v>275</v>
      </c>
      <c r="E616" s="14">
        <f>COUNTIFS(orders!$C:$C,A616)</f>
        <v>1</v>
      </c>
      <c r="F616" s="16">
        <f>SUMIFS(orders!$M:$M,orders!$C:$C,A616)</f>
        <v>17.46</v>
      </c>
      <c r="G616" s="14" t="str">
        <f>INDEX(orders!$P:$P,MATCH(A616,orders!$C:$C,0))</f>
        <v>No</v>
      </c>
      <c r="H616" s="17">
        <f t="shared" si="56"/>
        <v>4</v>
      </c>
      <c r="I616" s="14">
        <f t="shared" si="57"/>
        <v>1</v>
      </c>
      <c r="J616">
        <f t="shared" si="58"/>
        <v>2</v>
      </c>
      <c r="K616" s="14">
        <f t="shared" si="59"/>
        <v>7</v>
      </c>
      <c r="L616" t="str">
        <f t="shared" si="60"/>
        <v>Standard One-Time Buyers</v>
      </c>
    </row>
    <row r="617" spans="1:12" x14ac:dyDescent="0.3">
      <c r="A617" s="12" t="s">
        <v>5661</v>
      </c>
      <c r="B617" s="14" t="str">
        <f>INDEX(orders!$F:$F,MATCH(A617,orders!$C:$C,0))</f>
        <v>Antonius Lewry</v>
      </c>
      <c r="C617" s="15">
        <f>_xlfn.MAXIFS(orders!$B:$B,orders!$C:$C,A617)</f>
        <v>44640</v>
      </c>
      <c r="D617" s="14">
        <f t="shared" si="55"/>
        <v>153</v>
      </c>
      <c r="E617" s="14">
        <f>COUNTIFS(orders!$C:$C,A617)</f>
        <v>1</v>
      </c>
      <c r="F617" s="16">
        <f>SUMIFS(orders!$M:$M,orders!$C:$C,A617)</f>
        <v>45</v>
      </c>
      <c r="G617" s="14" t="str">
        <f>INDEX(orders!$P:$P,MATCH(A617,orders!$C:$C,0))</f>
        <v>No</v>
      </c>
      <c r="H617" s="17">
        <f t="shared" si="56"/>
        <v>5</v>
      </c>
      <c r="I617" s="14">
        <f t="shared" si="57"/>
        <v>1</v>
      </c>
      <c r="J617">
        <f t="shared" si="58"/>
        <v>4</v>
      </c>
      <c r="K617" s="14">
        <f t="shared" si="59"/>
        <v>10</v>
      </c>
      <c r="L617" t="str">
        <f t="shared" si="60"/>
        <v>Recent High-Value (One-Time)</v>
      </c>
    </row>
    <row r="618" spans="1:12" x14ac:dyDescent="0.3">
      <c r="A618" s="12" t="s">
        <v>3000</v>
      </c>
      <c r="B618" s="14" t="str">
        <f>INDEX(orders!$F:$F,MATCH(A618,orders!$C:$C,0))</f>
        <v>Kizzie Warman</v>
      </c>
      <c r="C618" s="15">
        <f>_xlfn.MAXIFS(orders!$B:$B,orders!$C:$C,A618)</f>
        <v>43784</v>
      </c>
      <c r="D618" s="14">
        <f t="shared" si="55"/>
        <v>1009</v>
      </c>
      <c r="E618" s="14">
        <f>COUNTIFS(orders!$C:$C,A618)</f>
        <v>1</v>
      </c>
      <c r="F618" s="16">
        <f>SUMIFS(orders!$M:$M,orders!$C:$C,A618)</f>
        <v>66.929999999999993</v>
      </c>
      <c r="G618" s="14" t="str">
        <f>INDEX(orders!$P:$P,MATCH(A618,orders!$C:$C,0))</f>
        <v>Yes</v>
      </c>
      <c r="H618" s="17">
        <f t="shared" si="56"/>
        <v>2</v>
      </c>
      <c r="I618" s="14">
        <f t="shared" si="57"/>
        <v>1</v>
      </c>
      <c r="J618">
        <f t="shared" si="58"/>
        <v>4</v>
      </c>
      <c r="K618" s="14">
        <f t="shared" si="59"/>
        <v>7</v>
      </c>
      <c r="L618" t="str">
        <f t="shared" si="60"/>
        <v>Lapsed One-Time Buyers</v>
      </c>
    </row>
    <row r="619" spans="1:12" x14ac:dyDescent="0.3">
      <c r="A619" s="12" t="s">
        <v>1262</v>
      </c>
      <c r="B619" s="14" t="str">
        <f>INDEX(orders!$F:$F,MATCH(A619,orders!$C:$C,0))</f>
        <v>Elonore Joliffe</v>
      </c>
      <c r="C619" s="15">
        <f>_xlfn.MAXIFS(orders!$B:$B,orders!$C:$C,A619)</f>
        <v>44637</v>
      </c>
      <c r="D619" s="14">
        <f t="shared" si="55"/>
        <v>156</v>
      </c>
      <c r="E619" s="14">
        <f>COUNTIFS(orders!$C:$C,A619)</f>
        <v>1</v>
      </c>
      <c r="F619" s="16">
        <f>SUMIFS(orders!$M:$M,orders!$C:$C,A619)</f>
        <v>102.46499999999997</v>
      </c>
      <c r="G619" s="14" t="str">
        <f>INDEX(orders!$P:$P,MATCH(A619,orders!$C:$C,0))</f>
        <v>No</v>
      </c>
      <c r="H619" s="17">
        <f t="shared" si="56"/>
        <v>5</v>
      </c>
      <c r="I619" s="14">
        <f t="shared" si="57"/>
        <v>1</v>
      </c>
      <c r="J619">
        <f t="shared" si="58"/>
        <v>5</v>
      </c>
      <c r="K619" s="14">
        <f t="shared" si="59"/>
        <v>11</v>
      </c>
      <c r="L619" t="str">
        <f t="shared" si="60"/>
        <v>Recent High-Value (One-Time)</v>
      </c>
    </row>
    <row r="620" spans="1:12" x14ac:dyDescent="0.3">
      <c r="A620" s="12" t="s">
        <v>5284</v>
      </c>
      <c r="B620" s="14" t="str">
        <f>INDEX(orders!$F:$F,MATCH(A620,orders!$C:$C,0))</f>
        <v>Spencer Wastell</v>
      </c>
      <c r="C620" s="15">
        <f>_xlfn.MAXIFS(orders!$B:$B,orders!$C:$C,A620)</f>
        <v>43468</v>
      </c>
      <c r="D620" s="14">
        <f t="shared" si="55"/>
        <v>1325</v>
      </c>
      <c r="E620" s="14">
        <f>COUNTIFS(orders!$C:$C,A620)</f>
        <v>1</v>
      </c>
      <c r="F620" s="16">
        <f>SUMIFS(orders!$M:$M,orders!$C:$C,A620)</f>
        <v>53.46</v>
      </c>
      <c r="G620" s="14" t="str">
        <f>INDEX(orders!$P:$P,MATCH(A620,orders!$C:$C,0))</f>
        <v>No</v>
      </c>
      <c r="H620" s="17">
        <f t="shared" si="56"/>
        <v>1</v>
      </c>
      <c r="I620" s="14">
        <f t="shared" si="57"/>
        <v>1</v>
      </c>
      <c r="J620">
        <f t="shared" si="58"/>
        <v>4</v>
      </c>
      <c r="K620" s="14">
        <f t="shared" si="59"/>
        <v>6</v>
      </c>
      <c r="L620" t="str">
        <f t="shared" si="60"/>
        <v>Lapsed One-Time Buyers</v>
      </c>
    </row>
    <row r="621" spans="1:12" x14ac:dyDescent="0.3">
      <c r="A621" s="12" t="s">
        <v>1284</v>
      </c>
      <c r="B621" s="14" t="str">
        <f>INDEX(orders!$F:$F,MATCH(A621,orders!$C:$C,0))</f>
        <v>Boyd Bett</v>
      </c>
      <c r="C621" s="15">
        <f>_xlfn.MAXIFS(orders!$B:$B,orders!$C:$C,A621)</f>
        <v>43970</v>
      </c>
      <c r="D621" s="14">
        <f t="shared" si="55"/>
        <v>823</v>
      </c>
      <c r="E621" s="14">
        <f>COUNTIFS(orders!$C:$C,A621)</f>
        <v>1</v>
      </c>
      <c r="F621" s="16">
        <f>SUMIFS(orders!$M:$M,orders!$C:$C,A621)</f>
        <v>15.54</v>
      </c>
      <c r="G621" s="14" t="str">
        <f>INDEX(orders!$P:$P,MATCH(A621,orders!$C:$C,0))</f>
        <v>Yes</v>
      </c>
      <c r="H621" s="17">
        <f t="shared" si="56"/>
        <v>2</v>
      </c>
      <c r="I621" s="14">
        <f t="shared" si="57"/>
        <v>1</v>
      </c>
      <c r="J621">
        <f t="shared" si="58"/>
        <v>2</v>
      </c>
      <c r="K621" s="14">
        <f t="shared" si="59"/>
        <v>5</v>
      </c>
      <c r="L621" t="str">
        <f t="shared" si="60"/>
        <v>Lapsed One-Time Buyers</v>
      </c>
    </row>
    <row r="622" spans="1:12" x14ac:dyDescent="0.3">
      <c r="A622" s="12" t="s">
        <v>3042</v>
      </c>
      <c r="B622" s="14" t="str">
        <f>INDEX(orders!$F:$F,MATCH(A622,orders!$C:$C,0))</f>
        <v>Morgen Seson</v>
      </c>
      <c r="C622" s="15">
        <f>_xlfn.MAXIFS(orders!$B:$B,orders!$C:$C,A622)</f>
        <v>44524</v>
      </c>
      <c r="D622" s="14">
        <f t="shared" si="55"/>
        <v>269</v>
      </c>
      <c r="E622" s="14">
        <f>COUNTIFS(orders!$C:$C,A622)</f>
        <v>2</v>
      </c>
      <c r="F622" s="16">
        <f>SUMIFS(orders!$M:$M,orders!$C:$C,A622)</f>
        <v>27.195</v>
      </c>
      <c r="G622" s="14" t="str">
        <f>INDEX(orders!$P:$P,MATCH(A622,orders!$C:$C,0))</f>
        <v>No</v>
      </c>
      <c r="H622" s="17">
        <f t="shared" si="56"/>
        <v>4</v>
      </c>
      <c r="I622" s="14">
        <f t="shared" si="57"/>
        <v>3</v>
      </c>
      <c r="J622">
        <f t="shared" si="58"/>
        <v>3</v>
      </c>
      <c r="K622" s="14">
        <f t="shared" si="59"/>
        <v>10</v>
      </c>
      <c r="L622" t="str">
        <f t="shared" si="60"/>
        <v>Loyal Repeat Customers</v>
      </c>
    </row>
    <row r="623" spans="1:12" x14ac:dyDescent="0.3">
      <c r="A623" s="12" t="s">
        <v>5823</v>
      </c>
      <c r="B623" s="14" t="str">
        <f>INDEX(orders!$F:$F,MATCH(A623,orders!$C:$C,0))</f>
        <v>Augustin Waterhouse</v>
      </c>
      <c r="C623" s="15">
        <f>_xlfn.MAXIFS(orders!$B:$B,orders!$C:$C,A623)</f>
        <v>44719</v>
      </c>
      <c r="D623" s="14">
        <f t="shared" si="55"/>
        <v>74</v>
      </c>
      <c r="E623" s="14">
        <f>COUNTIFS(orders!$C:$C,A623)</f>
        <v>1</v>
      </c>
      <c r="F623" s="16">
        <f>SUMIFS(orders!$M:$M,orders!$C:$C,A623)</f>
        <v>46.62</v>
      </c>
      <c r="G623" s="14" t="str">
        <f>INDEX(orders!$P:$P,MATCH(A623,orders!$C:$C,0))</f>
        <v>No</v>
      </c>
      <c r="H623" s="17">
        <f t="shared" si="56"/>
        <v>5</v>
      </c>
      <c r="I623" s="14">
        <f t="shared" si="57"/>
        <v>1</v>
      </c>
      <c r="J623">
        <f t="shared" si="58"/>
        <v>4</v>
      </c>
      <c r="K623" s="14">
        <f t="shared" si="59"/>
        <v>10</v>
      </c>
      <c r="L623" t="str">
        <f t="shared" si="60"/>
        <v>Recent High-Value (One-Time)</v>
      </c>
    </row>
    <row r="624" spans="1:12" x14ac:dyDescent="0.3">
      <c r="A624" s="12" t="s">
        <v>2661</v>
      </c>
      <c r="B624" s="14" t="str">
        <f>INDEX(orders!$F:$F,MATCH(A624,orders!$C:$C,0))</f>
        <v>Virgil Baumadier</v>
      </c>
      <c r="C624" s="15">
        <f>_xlfn.MAXIFS(orders!$B:$B,orders!$C:$C,A624)</f>
        <v>44559</v>
      </c>
      <c r="D624" s="14">
        <f t="shared" si="55"/>
        <v>234</v>
      </c>
      <c r="E624" s="14">
        <f>COUNTIFS(orders!$C:$C,A624)</f>
        <v>1</v>
      </c>
      <c r="F624" s="16">
        <f>SUMIFS(orders!$M:$M,orders!$C:$C,A624)</f>
        <v>43.650000000000006</v>
      </c>
      <c r="G624" s="14" t="str">
        <f>INDEX(orders!$P:$P,MATCH(A624,orders!$C:$C,0))</f>
        <v>Yes</v>
      </c>
      <c r="H624" s="17">
        <f t="shared" si="56"/>
        <v>5</v>
      </c>
      <c r="I624" s="14">
        <f t="shared" si="57"/>
        <v>1</v>
      </c>
      <c r="J624">
        <f t="shared" si="58"/>
        <v>4</v>
      </c>
      <c r="K624" s="14">
        <f t="shared" si="59"/>
        <v>10</v>
      </c>
      <c r="L624" t="str">
        <f t="shared" si="60"/>
        <v>Recent High-Value (One-Time)</v>
      </c>
    </row>
    <row r="625" spans="1:12" x14ac:dyDescent="0.3">
      <c r="A625" s="12" t="s">
        <v>986</v>
      </c>
      <c r="B625" s="14" t="str">
        <f>INDEX(orders!$F:$F,MATCH(A625,orders!$C:$C,0))</f>
        <v>Elna Grise</v>
      </c>
      <c r="C625" s="15">
        <f>_xlfn.MAXIFS(orders!$B:$B,orders!$C:$C,A625)</f>
        <v>44284</v>
      </c>
      <c r="D625" s="14">
        <f t="shared" si="55"/>
        <v>509</v>
      </c>
      <c r="E625" s="14">
        <f>COUNTIFS(orders!$C:$C,A625)</f>
        <v>1</v>
      </c>
      <c r="F625" s="16">
        <f>SUMIFS(orders!$M:$M,orders!$C:$C,A625)</f>
        <v>35.849999999999994</v>
      </c>
      <c r="G625" s="14" t="str">
        <f>INDEX(orders!$P:$P,MATCH(A625,orders!$C:$C,0))</f>
        <v>No</v>
      </c>
      <c r="H625" s="17">
        <f t="shared" si="56"/>
        <v>4</v>
      </c>
      <c r="I625" s="14">
        <f t="shared" si="57"/>
        <v>1</v>
      </c>
      <c r="J625">
        <f t="shared" si="58"/>
        <v>3</v>
      </c>
      <c r="K625" s="14">
        <f t="shared" si="59"/>
        <v>8</v>
      </c>
      <c r="L625" t="str">
        <f t="shared" si="60"/>
        <v>Standard One-Time Buyers</v>
      </c>
    </row>
    <row r="626" spans="1:12" x14ac:dyDescent="0.3">
      <c r="A626" s="12" t="s">
        <v>3231</v>
      </c>
      <c r="B626" s="14" t="str">
        <f>INDEX(orders!$F:$F,MATCH(A626,orders!$C:$C,0))</f>
        <v>Morna Hansed</v>
      </c>
      <c r="C626" s="15">
        <f>_xlfn.MAXIFS(orders!$B:$B,orders!$C:$C,A626)</f>
        <v>44413</v>
      </c>
      <c r="D626" s="14">
        <f t="shared" si="55"/>
        <v>380</v>
      </c>
      <c r="E626" s="14">
        <f>COUNTIFS(orders!$C:$C,A626)</f>
        <v>1</v>
      </c>
      <c r="F626" s="16">
        <f>SUMIFS(orders!$M:$M,orders!$C:$C,A626)</f>
        <v>21.509999999999998</v>
      </c>
      <c r="G626" s="14" t="str">
        <f>INDEX(orders!$P:$P,MATCH(A626,orders!$C:$C,0))</f>
        <v>Yes</v>
      </c>
      <c r="H626" s="17">
        <f t="shared" si="56"/>
        <v>4</v>
      </c>
      <c r="I626" s="14">
        <f t="shared" si="57"/>
        <v>1</v>
      </c>
      <c r="J626">
        <f t="shared" si="58"/>
        <v>2</v>
      </c>
      <c r="K626" s="14">
        <f t="shared" si="59"/>
        <v>7</v>
      </c>
      <c r="L626" t="str">
        <f t="shared" si="60"/>
        <v>Standard One-Time Buyers</v>
      </c>
    </row>
    <row r="627" spans="1:12" x14ac:dyDescent="0.3">
      <c r="A627" s="12" t="s">
        <v>1290</v>
      </c>
      <c r="B627" s="14" t="str">
        <f>INDEX(orders!$F:$F,MATCH(A627,orders!$C:$C,0))</f>
        <v>Julio Armytage</v>
      </c>
      <c r="C627" s="15">
        <f>_xlfn.MAXIFS(orders!$B:$B,orders!$C:$C,A627)</f>
        <v>44678</v>
      </c>
      <c r="D627" s="14">
        <f t="shared" si="55"/>
        <v>115</v>
      </c>
      <c r="E627" s="14">
        <f>COUNTIFS(orders!$C:$C,A627)</f>
        <v>1</v>
      </c>
      <c r="F627" s="16">
        <f>SUMIFS(orders!$M:$M,orders!$C:$C,A627)</f>
        <v>136.61999999999998</v>
      </c>
      <c r="G627" s="14" t="str">
        <f>INDEX(orders!$P:$P,MATCH(A627,orders!$C:$C,0))</f>
        <v>Yes</v>
      </c>
      <c r="H627" s="17">
        <f t="shared" si="56"/>
        <v>5</v>
      </c>
      <c r="I627" s="14">
        <f t="shared" si="57"/>
        <v>1</v>
      </c>
      <c r="J627">
        <f t="shared" si="58"/>
        <v>5</v>
      </c>
      <c r="K627" s="14">
        <f t="shared" si="59"/>
        <v>11</v>
      </c>
      <c r="L627" t="str">
        <f t="shared" si="60"/>
        <v>Recent High-Value (One-Time)</v>
      </c>
    </row>
    <row r="628" spans="1:12" x14ac:dyDescent="0.3">
      <c r="A628" s="12" t="s">
        <v>5334</v>
      </c>
      <c r="B628" s="14" t="str">
        <f>INDEX(orders!$F:$F,MATCH(A628,orders!$C:$C,0))</f>
        <v>Joceline Reddoch</v>
      </c>
      <c r="C628" s="15">
        <f>_xlfn.MAXIFS(orders!$B:$B,orders!$C:$C,A628)</f>
        <v>43889</v>
      </c>
      <c r="D628" s="14">
        <f t="shared" si="55"/>
        <v>904</v>
      </c>
      <c r="E628" s="14">
        <f>COUNTIFS(orders!$C:$C,A628)</f>
        <v>1</v>
      </c>
      <c r="F628" s="16">
        <f>SUMIFS(orders!$M:$M,orders!$C:$C,A628)</f>
        <v>137.42499999999998</v>
      </c>
      <c r="G628" s="14" t="str">
        <f>INDEX(orders!$P:$P,MATCH(A628,orders!$C:$C,0))</f>
        <v>No</v>
      </c>
      <c r="H628" s="17">
        <f t="shared" si="56"/>
        <v>2</v>
      </c>
      <c r="I628" s="14">
        <f t="shared" si="57"/>
        <v>1</v>
      </c>
      <c r="J628">
        <f t="shared" si="58"/>
        <v>5</v>
      </c>
      <c r="K628" s="14">
        <f t="shared" si="59"/>
        <v>8</v>
      </c>
      <c r="L628" t="str">
        <f t="shared" si="60"/>
        <v>Lapsed One-Time Buyers</v>
      </c>
    </row>
    <row r="629" spans="1:12" x14ac:dyDescent="0.3">
      <c r="A629" s="12" t="s">
        <v>5667</v>
      </c>
      <c r="B629" s="14" t="str">
        <f>INDEX(orders!$F:$F,MATCH(A629,orders!$C:$C,0))</f>
        <v>Isis Hessel</v>
      </c>
      <c r="C629" s="15">
        <f>_xlfn.MAXIFS(orders!$B:$B,orders!$C:$C,A629)</f>
        <v>43955</v>
      </c>
      <c r="D629" s="14">
        <f t="shared" si="55"/>
        <v>838</v>
      </c>
      <c r="E629" s="14">
        <f>COUNTIFS(orders!$C:$C,A629)</f>
        <v>1</v>
      </c>
      <c r="F629" s="16">
        <f>SUMIFS(orders!$M:$M,orders!$C:$C,A629)</f>
        <v>83.835000000000008</v>
      </c>
      <c r="G629" s="14" t="str">
        <f>INDEX(orders!$P:$P,MATCH(A629,orders!$C:$C,0))</f>
        <v>Yes</v>
      </c>
      <c r="H629" s="17">
        <f t="shared" si="56"/>
        <v>2</v>
      </c>
      <c r="I629" s="14">
        <f t="shared" si="57"/>
        <v>1</v>
      </c>
      <c r="J629">
        <f t="shared" si="58"/>
        <v>5</v>
      </c>
      <c r="K629" s="14">
        <f t="shared" si="59"/>
        <v>8</v>
      </c>
      <c r="L629" t="str">
        <f t="shared" si="60"/>
        <v>Lapsed One-Time Buyers</v>
      </c>
    </row>
    <row r="630" spans="1:12" x14ac:dyDescent="0.3">
      <c r="A630" s="12" t="s">
        <v>5862</v>
      </c>
      <c r="B630" s="14" t="str">
        <f>INDEX(orders!$F:$F,MATCH(A630,orders!$C:$C,0))</f>
        <v>Johnath Fairebrother</v>
      </c>
      <c r="C630" s="15">
        <f>_xlfn.MAXIFS(orders!$B:$B,orders!$C:$C,A630)</f>
        <v>44703</v>
      </c>
      <c r="D630" s="14">
        <f t="shared" si="55"/>
        <v>90</v>
      </c>
      <c r="E630" s="14">
        <f>COUNTIFS(orders!$C:$C,A630)</f>
        <v>1</v>
      </c>
      <c r="F630" s="16">
        <f>SUMIFS(orders!$M:$M,orders!$C:$C,A630)</f>
        <v>14.339999999999998</v>
      </c>
      <c r="G630" s="14" t="str">
        <f>INDEX(orders!$P:$P,MATCH(A630,orders!$C:$C,0))</f>
        <v>Yes</v>
      </c>
      <c r="H630" s="17">
        <f t="shared" si="56"/>
        <v>5</v>
      </c>
      <c r="I630" s="14">
        <f t="shared" si="57"/>
        <v>1</v>
      </c>
      <c r="J630">
        <f t="shared" si="58"/>
        <v>2</v>
      </c>
      <c r="K630" s="14">
        <f t="shared" si="59"/>
        <v>8</v>
      </c>
      <c r="L630" t="str">
        <f t="shared" si="60"/>
        <v>Standard One-Time Buyers</v>
      </c>
    </row>
    <row r="631" spans="1:12" x14ac:dyDescent="0.3">
      <c r="A631" s="12" t="s">
        <v>5939</v>
      </c>
      <c r="B631" s="14" t="str">
        <f>INDEX(orders!$F:$F,MATCH(A631,orders!$C:$C,0))</f>
        <v>Cleopatra Goodrum</v>
      </c>
      <c r="C631" s="15">
        <f>_xlfn.MAXIFS(orders!$B:$B,orders!$C:$C,A631)</f>
        <v>43865</v>
      </c>
      <c r="D631" s="14">
        <f t="shared" si="55"/>
        <v>928</v>
      </c>
      <c r="E631" s="14">
        <f>COUNTIFS(orders!$C:$C,A631)</f>
        <v>1</v>
      </c>
      <c r="F631" s="16">
        <f>SUMIFS(orders!$M:$M,orders!$C:$C,A631)</f>
        <v>22.274999999999999</v>
      </c>
      <c r="G631" s="14" t="str">
        <f>INDEX(orders!$P:$P,MATCH(A631,orders!$C:$C,0))</f>
        <v>No</v>
      </c>
      <c r="H631" s="17">
        <f t="shared" si="56"/>
        <v>2</v>
      </c>
      <c r="I631" s="14">
        <f t="shared" si="57"/>
        <v>1</v>
      </c>
      <c r="J631">
        <f t="shared" si="58"/>
        <v>2</v>
      </c>
      <c r="K631" s="14">
        <f t="shared" si="59"/>
        <v>5</v>
      </c>
      <c r="L631" t="str">
        <f t="shared" si="60"/>
        <v>Lapsed One-Time Buyers</v>
      </c>
    </row>
    <row r="632" spans="1:12" x14ac:dyDescent="0.3">
      <c r="A632" s="12" t="s">
        <v>4748</v>
      </c>
      <c r="B632" s="14" t="str">
        <f>INDEX(orders!$F:$F,MATCH(A632,orders!$C:$C,0))</f>
        <v>Simone Capon</v>
      </c>
      <c r="C632" s="15">
        <f>_xlfn.MAXIFS(orders!$B:$B,orders!$C:$C,A632)</f>
        <v>44704</v>
      </c>
      <c r="D632" s="14">
        <f t="shared" si="55"/>
        <v>89</v>
      </c>
      <c r="E632" s="14">
        <f>COUNTIFS(orders!$C:$C,A632)</f>
        <v>1</v>
      </c>
      <c r="F632" s="16">
        <f>SUMIFS(orders!$M:$M,orders!$C:$C,A632)</f>
        <v>29.849999999999998</v>
      </c>
      <c r="G632" s="14" t="str">
        <f>INDEX(orders!$P:$P,MATCH(A632,orders!$C:$C,0))</f>
        <v>No</v>
      </c>
      <c r="H632" s="17">
        <f t="shared" si="56"/>
        <v>5</v>
      </c>
      <c r="I632" s="14">
        <f t="shared" si="57"/>
        <v>1</v>
      </c>
      <c r="J632">
        <f t="shared" si="58"/>
        <v>3</v>
      </c>
      <c r="K632" s="14">
        <f t="shared" si="59"/>
        <v>9</v>
      </c>
      <c r="L632" t="str">
        <f t="shared" si="60"/>
        <v>Standard One-Time Buyers</v>
      </c>
    </row>
    <row r="633" spans="1:12" x14ac:dyDescent="0.3">
      <c r="A633" s="12" t="s">
        <v>4529</v>
      </c>
      <c r="B633" s="14" t="str">
        <f>INDEX(orders!$F:$F,MATCH(A633,orders!$C:$C,0))</f>
        <v>Gilberto Cornier</v>
      </c>
      <c r="C633" s="15">
        <f>_xlfn.MAXIFS(orders!$B:$B,orders!$C:$C,A633)</f>
        <v>44504</v>
      </c>
      <c r="D633" s="14">
        <f t="shared" si="55"/>
        <v>289</v>
      </c>
      <c r="E633" s="14">
        <f>COUNTIFS(orders!$C:$C,A633)</f>
        <v>1</v>
      </c>
      <c r="F633" s="16">
        <f>SUMIFS(orders!$M:$M,orders!$C:$C,A633)</f>
        <v>89.1</v>
      </c>
      <c r="G633" s="14" t="str">
        <f>INDEX(orders!$P:$P,MATCH(A633,orders!$C:$C,0))</f>
        <v>No</v>
      </c>
      <c r="H633" s="17">
        <f t="shared" si="56"/>
        <v>4</v>
      </c>
      <c r="I633" s="14">
        <f t="shared" si="57"/>
        <v>1</v>
      </c>
      <c r="J633">
        <f t="shared" si="58"/>
        <v>5</v>
      </c>
      <c r="K633" s="14">
        <f t="shared" si="59"/>
        <v>10</v>
      </c>
      <c r="L633" t="str">
        <f t="shared" si="60"/>
        <v>Recent High-Value (One-Time)</v>
      </c>
    </row>
    <row r="634" spans="1:12" x14ac:dyDescent="0.3">
      <c r="A634" s="12" t="s">
        <v>5810</v>
      </c>
      <c r="B634" s="14" t="str">
        <f>INDEX(orders!$F:$F,MATCH(A634,orders!$C:$C,0))</f>
        <v>Henderson Crowne</v>
      </c>
      <c r="C634" s="15">
        <f>_xlfn.MAXIFS(orders!$B:$B,orders!$C:$C,A634)</f>
        <v>44674</v>
      </c>
      <c r="D634" s="14">
        <f t="shared" si="55"/>
        <v>119</v>
      </c>
      <c r="E634" s="14">
        <f>COUNTIFS(orders!$C:$C,A634)</f>
        <v>1</v>
      </c>
      <c r="F634" s="16">
        <f>SUMIFS(orders!$M:$M,orders!$C:$C,A634)</f>
        <v>15.54</v>
      </c>
      <c r="G634" s="14" t="str">
        <f>INDEX(orders!$P:$P,MATCH(A634,orders!$C:$C,0))</f>
        <v>Yes</v>
      </c>
      <c r="H634" s="17">
        <f t="shared" si="56"/>
        <v>5</v>
      </c>
      <c r="I634" s="14">
        <f t="shared" si="57"/>
        <v>1</v>
      </c>
      <c r="J634">
        <f t="shared" si="58"/>
        <v>2</v>
      </c>
      <c r="K634" s="14">
        <f t="shared" si="59"/>
        <v>8</v>
      </c>
      <c r="L634" t="str">
        <f t="shared" si="60"/>
        <v>Standard One-Time Buyers</v>
      </c>
    </row>
    <row r="635" spans="1:12" x14ac:dyDescent="0.3">
      <c r="A635" s="12" t="s">
        <v>2656</v>
      </c>
      <c r="B635" s="14" t="str">
        <f>INDEX(orders!$F:$F,MATCH(A635,orders!$C:$C,0))</f>
        <v>Nickey Dimbleby</v>
      </c>
      <c r="C635" s="15">
        <f>_xlfn.MAXIFS(orders!$B:$B,orders!$C:$C,A635)</f>
        <v>43870</v>
      </c>
      <c r="D635" s="14">
        <f t="shared" si="55"/>
        <v>923</v>
      </c>
      <c r="E635" s="14">
        <f>COUNTIFS(orders!$C:$C,A635)</f>
        <v>1</v>
      </c>
      <c r="F635" s="16">
        <f>SUMIFS(orders!$M:$M,orders!$C:$C,A635)</f>
        <v>119.13999999999999</v>
      </c>
      <c r="G635" s="14" t="str">
        <f>INDEX(orders!$P:$P,MATCH(A635,orders!$C:$C,0))</f>
        <v>No</v>
      </c>
      <c r="H635" s="17">
        <f t="shared" si="56"/>
        <v>2</v>
      </c>
      <c r="I635" s="14">
        <f t="shared" si="57"/>
        <v>1</v>
      </c>
      <c r="J635">
        <f t="shared" si="58"/>
        <v>5</v>
      </c>
      <c r="K635" s="14">
        <f t="shared" si="59"/>
        <v>8</v>
      </c>
      <c r="L635" t="str">
        <f t="shared" si="60"/>
        <v>Lapsed One-Time Buyers</v>
      </c>
    </row>
    <row r="636" spans="1:12" x14ac:dyDescent="0.3">
      <c r="A636" s="12" t="s">
        <v>2358</v>
      </c>
      <c r="B636" s="14" t="str">
        <f>INDEX(orders!$F:$F,MATCH(A636,orders!$C:$C,0))</f>
        <v>Corine Drewett</v>
      </c>
      <c r="C636" s="15">
        <f>_xlfn.MAXIFS(orders!$B:$B,orders!$C:$C,A636)</f>
        <v>43989</v>
      </c>
      <c r="D636" s="14">
        <f t="shared" si="55"/>
        <v>804</v>
      </c>
      <c r="E636" s="14">
        <f>COUNTIFS(orders!$C:$C,A636)</f>
        <v>1</v>
      </c>
      <c r="F636" s="16">
        <f>SUMIFS(orders!$M:$M,orders!$C:$C,A636)</f>
        <v>22.884999999999998</v>
      </c>
      <c r="G636" s="14" t="str">
        <f>INDEX(orders!$P:$P,MATCH(A636,orders!$C:$C,0))</f>
        <v>Yes</v>
      </c>
      <c r="H636" s="17">
        <f t="shared" si="56"/>
        <v>2</v>
      </c>
      <c r="I636" s="14">
        <f t="shared" si="57"/>
        <v>1</v>
      </c>
      <c r="J636">
        <f t="shared" si="58"/>
        <v>2</v>
      </c>
      <c r="K636" s="14">
        <f t="shared" si="59"/>
        <v>5</v>
      </c>
      <c r="L636" t="str">
        <f t="shared" si="60"/>
        <v>Lapsed One-Time Buyers</v>
      </c>
    </row>
    <row r="637" spans="1:12" x14ac:dyDescent="0.3">
      <c r="A637" s="12" t="s">
        <v>892</v>
      </c>
      <c r="B637" s="14" t="str">
        <f>INDEX(orders!$F:$F,MATCH(A637,orders!$C:$C,0))</f>
        <v>Shirlene Edmondson</v>
      </c>
      <c r="C637" s="15">
        <f>_xlfn.MAXIFS(orders!$B:$B,orders!$C:$C,A637)</f>
        <v>44200</v>
      </c>
      <c r="D637" s="14">
        <f t="shared" si="55"/>
        <v>593</v>
      </c>
      <c r="E637" s="14">
        <f>COUNTIFS(orders!$C:$C,A637)</f>
        <v>1</v>
      </c>
      <c r="F637" s="16">
        <f>SUMIFS(orders!$M:$M,orders!$C:$C,A637)</f>
        <v>9.51</v>
      </c>
      <c r="G637" s="14" t="str">
        <f>INDEX(orders!$P:$P,MATCH(A637,orders!$C:$C,0))</f>
        <v>No</v>
      </c>
      <c r="H637" s="17">
        <f t="shared" si="56"/>
        <v>3</v>
      </c>
      <c r="I637" s="14">
        <f t="shared" si="57"/>
        <v>1</v>
      </c>
      <c r="J637">
        <f t="shared" si="58"/>
        <v>1</v>
      </c>
      <c r="K637" s="14">
        <f t="shared" si="59"/>
        <v>5</v>
      </c>
      <c r="L637" t="str">
        <f t="shared" si="60"/>
        <v>Standard One-Time Buyers</v>
      </c>
    </row>
    <row r="638" spans="1:12" x14ac:dyDescent="0.3">
      <c r="A638" s="12" t="s">
        <v>3928</v>
      </c>
      <c r="B638" s="14" t="str">
        <f>INDEX(orders!$F:$F,MATCH(A638,orders!$C:$C,0))</f>
        <v>Ancell Fendt</v>
      </c>
      <c r="C638" s="15">
        <f>_xlfn.MAXIFS(orders!$B:$B,orders!$C:$C,A638)</f>
        <v>44147</v>
      </c>
      <c r="D638" s="14">
        <f t="shared" si="55"/>
        <v>646</v>
      </c>
      <c r="E638" s="14">
        <f>COUNTIFS(orders!$C:$C,A638)</f>
        <v>1</v>
      </c>
      <c r="F638" s="16">
        <f>SUMIFS(orders!$M:$M,orders!$C:$C,A638)</f>
        <v>26.19</v>
      </c>
      <c r="G638" s="14" t="str">
        <f>INDEX(orders!$P:$P,MATCH(A638,orders!$C:$C,0))</f>
        <v>Yes</v>
      </c>
      <c r="H638" s="17">
        <f t="shared" si="56"/>
        <v>3</v>
      </c>
      <c r="I638" s="14">
        <f t="shared" si="57"/>
        <v>1</v>
      </c>
      <c r="J638">
        <f t="shared" si="58"/>
        <v>3</v>
      </c>
      <c r="K638" s="14">
        <f t="shared" si="59"/>
        <v>7</v>
      </c>
      <c r="L638" t="str">
        <f t="shared" si="60"/>
        <v>Standard One-Time Buyers</v>
      </c>
    </row>
    <row r="639" spans="1:12" x14ac:dyDescent="0.3">
      <c r="A639" s="12" t="s">
        <v>1683</v>
      </c>
      <c r="B639" s="14" t="str">
        <f>INDEX(orders!$F:$F,MATCH(A639,orders!$C:$C,0))</f>
        <v>Dael Camilletti</v>
      </c>
      <c r="C639" s="15">
        <f>_xlfn.MAXIFS(orders!$B:$B,orders!$C:$C,A639)</f>
        <v>43921</v>
      </c>
      <c r="D639" s="14">
        <f t="shared" si="55"/>
        <v>872</v>
      </c>
      <c r="E639" s="14">
        <f>COUNTIFS(orders!$C:$C,A639)</f>
        <v>1</v>
      </c>
      <c r="F639" s="16">
        <f>SUMIFS(orders!$M:$M,orders!$C:$C,A639)</f>
        <v>14.58</v>
      </c>
      <c r="G639" s="14" t="str">
        <f>INDEX(orders!$P:$P,MATCH(A639,orders!$C:$C,0))</f>
        <v>Yes</v>
      </c>
      <c r="H639" s="17">
        <f t="shared" si="56"/>
        <v>2</v>
      </c>
      <c r="I639" s="14">
        <f t="shared" si="57"/>
        <v>1</v>
      </c>
      <c r="J639">
        <f t="shared" si="58"/>
        <v>2</v>
      </c>
      <c r="K639" s="14">
        <f t="shared" si="59"/>
        <v>5</v>
      </c>
      <c r="L639" t="str">
        <f t="shared" si="60"/>
        <v>Lapsed One-Time Buyers</v>
      </c>
    </row>
    <row r="640" spans="1:12" x14ac:dyDescent="0.3">
      <c r="A640" s="12" t="s">
        <v>844</v>
      </c>
      <c r="B640" s="14" t="str">
        <f>INDEX(orders!$F:$F,MATCH(A640,orders!$C:$C,0))</f>
        <v>Annadiane Dykes</v>
      </c>
      <c r="C640" s="15">
        <f>_xlfn.MAXIFS(orders!$B:$B,orders!$C:$C,A640)</f>
        <v>43868</v>
      </c>
      <c r="D640" s="14">
        <f t="shared" si="55"/>
        <v>925</v>
      </c>
      <c r="E640" s="14">
        <f>COUNTIFS(orders!$C:$C,A640)</f>
        <v>1</v>
      </c>
      <c r="F640" s="16">
        <f>SUMIFS(orders!$M:$M,orders!$C:$C,A640)</f>
        <v>6.75</v>
      </c>
      <c r="G640" s="14" t="str">
        <f>INDEX(orders!$P:$P,MATCH(A640,orders!$C:$C,0))</f>
        <v>No</v>
      </c>
      <c r="H640" s="17">
        <f t="shared" si="56"/>
        <v>2</v>
      </c>
      <c r="I640" s="14">
        <f t="shared" si="57"/>
        <v>1</v>
      </c>
      <c r="J640">
        <f t="shared" si="58"/>
        <v>1</v>
      </c>
      <c r="K640" s="14">
        <f t="shared" si="59"/>
        <v>4</v>
      </c>
      <c r="L640" t="str">
        <f t="shared" si="60"/>
        <v>Lapsed One-Time Buyers</v>
      </c>
    </row>
    <row r="641" spans="1:12" x14ac:dyDescent="0.3">
      <c r="A641" s="12" t="s">
        <v>886</v>
      </c>
      <c r="B641" s="14" t="str">
        <f>INDEX(orders!$F:$F,MATCH(A641,orders!$C:$C,0))</f>
        <v>Shannon List</v>
      </c>
      <c r="C641" s="15">
        <f>_xlfn.MAXIFS(orders!$B:$B,orders!$C:$C,A641)</f>
        <v>43646</v>
      </c>
      <c r="D641" s="14">
        <f t="shared" si="55"/>
        <v>1147</v>
      </c>
      <c r="E641" s="14">
        <f>COUNTIFS(orders!$C:$C,A641)</f>
        <v>1</v>
      </c>
      <c r="F641" s="16">
        <f>SUMIFS(orders!$M:$M,orders!$C:$C,A641)</f>
        <v>136.61999999999998</v>
      </c>
      <c r="G641" s="14" t="str">
        <f>INDEX(orders!$P:$P,MATCH(A641,orders!$C:$C,0))</f>
        <v>No</v>
      </c>
      <c r="H641" s="17">
        <f t="shared" si="56"/>
        <v>1</v>
      </c>
      <c r="I641" s="14">
        <f t="shared" si="57"/>
        <v>1</v>
      </c>
      <c r="J641">
        <f t="shared" si="58"/>
        <v>5</v>
      </c>
      <c r="K641" s="14">
        <f t="shared" si="59"/>
        <v>7</v>
      </c>
      <c r="L641" t="str">
        <f t="shared" si="60"/>
        <v>Lapsed One-Time Buyers</v>
      </c>
    </row>
    <row r="642" spans="1:12" x14ac:dyDescent="0.3">
      <c r="A642" s="12" t="s">
        <v>3884</v>
      </c>
      <c r="B642" s="14" t="str">
        <f>INDEX(orders!$F:$F,MATCH(A642,orders!$C:$C,0))</f>
        <v>Aurelia Burgwin</v>
      </c>
      <c r="C642" s="15">
        <f>_xlfn.MAXIFS(orders!$B:$B,orders!$C:$C,A642)</f>
        <v>43815</v>
      </c>
      <c r="D642" s="14">
        <f t="shared" si="55"/>
        <v>978</v>
      </c>
      <c r="E642" s="14">
        <f>COUNTIFS(orders!$C:$C,A642)</f>
        <v>1</v>
      </c>
      <c r="F642" s="16">
        <f>SUMIFS(orders!$M:$M,orders!$C:$C,A642)</f>
        <v>109.93999999999998</v>
      </c>
      <c r="G642" s="14" t="str">
        <f>INDEX(orders!$P:$P,MATCH(A642,orders!$C:$C,0))</f>
        <v>Yes</v>
      </c>
      <c r="H642" s="17">
        <f t="shared" si="56"/>
        <v>2</v>
      </c>
      <c r="I642" s="14">
        <f t="shared" si="57"/>
        <v>1</v>
      </c>
      <c r="J642">
        <f t="shared" si="58"/>
        <v>5</v>
      </c>
      <c r="K642" s="14">
        <f t="shared" si="59"/>
        <v>8</v>
      </c>
      <c r="L642" t="str">
        <f t="shared" si="60"/>
        <v>Lapsed One-Time Buyers</v>
      </c>
    </row>
    <row r="643" spans="1:12" x14ac:dyDescent="0.3">
      <c r="A643" s="12" t="s">
        <v>3713</v>
      </c>
      <c r="B643" s="14" t="str">
        <f>INDEX(orders!$F:$F,MATCH(A643,orders!$C:$C,0))</f>
        <v>Donalt Sangwin</v>
      </c>
      <c r="C643" s="15">
        <f>_xlfn.MAXIFS(orders!$B:$B,orders!$C:$C,A643)</f>
        <v>43928</v>
      </c>
      <c r="D643" s="14">
        <f t="shared" si="55"/>
        <v>865</v>
      </c>
      <c r="E643" s="14">
        <f>COUNTIFS(orders!$C:$C,A643)</f>
        <v>1</v>
      </c>
      <c r="F643" s="16">
        <f>SUMIFS(orders!$M:$M,orders!$C:$C,A643)</f>
        <v>27</v>
      </c>
      <c r="G643" s="14" t="str">
        <f>INDEX(orders!$P:$P,MATCH(A643,orders!$C:$C,0))</f>
        <v>No</v>
      </c>
      <c r="H643" s="17">
        <f t="shared" si="56"/>
        <v>2</v>
      </c>
      <c r="I643" s="14">
        <f t="shared" si="57"/>
        <v>1</v>
      </c>
      <c r="J643">
        <f t="shared" si="58"/>
        <v>3</v>
      </c>
      <c r="K643" s="14">
        <f t="shared" si="59"/>
        <v>6</v>
      </c>
      <c r="L643" t="str">
        <f t="shared" si="60"/>
        <v>Lapsed One-Time Buyers</v>
      </c>
    </row>
    <row r="644" spans="1:12" x14ac:dyDescent="0.3">
      <c r="A644" s="12" t="s">
        <v>2216</v>
      </c>
      <c r="B644" s="14" t="str">
        <f>INDEX(orders!$F:$F,MATCH(A644,orders!$C:$C,0))</f>
        <v>Janifer Bagot</v>
      </c>
      <c r="C644" s="15">
        <f>_xlfn.MAXIFS(orders!$B:$B,orders!$C:$C,A644)</f>
        <v>43890</v>
      </c>
      <c r="D644" s="14">
        <f t="shared" si="55"/>
        <v>903</v>
      </c>
      <c r="E644" s="14">
        <f>COUNTIFS(orders!$C:$C,A644)</f>
        <v>1</v>
      </c>
      <c r="F644" s="16">
        <f>SUMIFS(orders!$M:$M,orders!$C:$C,A644)</f>
        <v>14.924999999999999</v>
      </c>
      <c r="G644" s="14" t="str">
        <f>INDEX(orders!$P:$P,MATCH(A644,orders!$C:$C,0))</f>
        <v>No</v>
      </c>
      <c r="H644" s="17">
        <f t="shared" si="56"/>
        <v>2</v>
      </c>
      <c r="I644" s="14">
        <f t="shared" si="57"/>
        <v>1</v>
      </c>
      <c r="J644">
        <f t="shared" si="58"/>
        <v>2</v>
      </c>
      <c r="K644" s="14">
        <f t="shared" si="59"/>
        <v>5</v>
      </c>
      <c r="L644" t="str">
        <f t="shared" si="60"/>
        <v>Lapsed One-Time Buyers</v>
      </c>
    </row>
    <row r="645" spans="1:12" x14ac:dyDescent="0.3">
      <c r="A645" s="12" t="s">
        <v>2425</v>
      </c>
      <c r="B645" s="14" t="str">
        <f>INDEX(orders!$F:$F,MATCH(A645,orders!$C:$C,0))</f>
        <v>Noam Climance</v>
      </c>
      <c r="C645" s="15">
        <f>_xlfn.MAXIFS(orders!$B:$B,orders!$C:$C,A645)</f>
        <v>43692</v>
      </c>
      <c r="D645" s="14">
        <f t="shared" si="55"/>
        <v>1101</v>
      </c>
      <c r="E645" s="14">
        <f>COUNTIFS(orders!$C:$C,A645)</f>
        <v>1</v>
      </c>
      <c r="F645" s="16">
        <f>SUMIFS(orders!$M:$M,orders!$C:$C,A645)</f>
        <v>32.22</v>
      </c>
      <c r="G645" s="14" t="str">
        <f>INDEX(orders!$P:$P,MATCH(A645,orders!$C:$C,0))</f>
        <v>No</v>
      </c>
      <c r="H645" s="17">
        <f t="shared" si="56"/>
        <v>1</v>
      </c>
      <c r="I645" s="14">
        <f t="shared" si="57"/>
        <v>1</v>
      </c>
      <c r="J645">
        <f t="shared" si="58"/>
        <v>3</v>
      </c>
      <c r="K645" s="14">
        <f t="shared" si="59"/>
        <v>5</v>
      </c>
      <c r="L645" t="str">
        <f t="shared" si="60"/>
        <v>Lapsed One-Time Buyers</v>
      </c>
    </row>
    <row r="646" spans="1:12" x14ac:dyDescent="0.3">
      <c r="A646" s="12" t="s">
        <v>6097</v>
      </c>
      <c r="B646" s="14" t="str">
        <f>INDEX(orders!$F:$F,MATCH(A646,orders!$C:$C,0))</f>
        <v>Desdemona Eye</v>
      </c>
      <c r="C646" s="15">
        <f>_xlfn.MAXIFS(orders!$B:$B,orders!$C:$C,A646)</f>
        <v>44276</v>
      </c>
      <c r="D646" s="14">
        <f t="shared" ref="D646:D709" si="61">$B$1-C646</f>
        <v>517</v>
      </c>
      <c r="E646" s="14">
        <f>COUNTIFS(orders!$C:$C,A646)</f>
        <v>1</v>
      </c>
      <c r="F646" s="16">
        <f>SUMIFS(orders!$M:$M,orders!$C:$C,A646)</f>
        <v>109.36499999999999</v>
      </c>
      <c r="G646" s="14" t="str">
        <f>INDEX(orders!$P:$P,MATCH(A646,orders!$C:$C,0))</f>
        <v>No</v>
      </c>
      <c r="H646" s="17">
        <f t="shared" ref="H646:H709" si="62">IF(D646&lt;=$E$1,5,IF(D646&lt;=$F$1,4,IF(D646&lt;=$G$1,3,IF(D646&lt;=$H$1,2,1))))</f>
        <v>3</v>
      </c>
      <c r="I646" s="14">
        <f t="shared" ref="I646:I709" si="63">IF(E646&lt;=1,1,IF(E646&lt;=2,3,5))</f>
        <v>1</v>
      </c>
      <c r="J646">
        <f t="shared" ref="J646:J709" si="64">IF(F646&lt;=PERCENTILE($F$5:$F$917,0.2),1,IF(F646&lt;=PERCENTILE($F$5:$F$917,0.4),2,IF(F646&lt;=PERCENTILE($F$5:$F$917,0.6),3,IF(F646&lt;=PERCENTILE($F$5:$F$917,0.8),4,5))))</f>
        <v>5</v>
      </c>
      <c r="K646" s="14">
        <f t="shared" ref="K646:K709" si="65">H646+I646+J646</f>
        <v>9</v>
      </c>
      <c r="L646" t="str">
        <f t="shared" ref="L646:L709" si="66">IF(AND(E646&gt;=2,H646&gt;=4),"Loyal Repeat Customers",IF(E646&gt;=2,"At-Risk Repeat Customers",IF(AND(H646&gt;=4,J646&gt;=4),"Recent High-Value (One-Time)",IF(H646&lt;=2,"Lapsed One-Time Buyers","Standard One-Time Buyers"))))</f>
        <v>Standard One-Time Buyers</v>
      </c>
    </row>
    <row r="647" spans="1:12" x14ac:dyDescent="0.3">
      <c r="A647" s="12" t="s">
        <v>2963</v>
      </c>
      <c r="B647" s="14" t="str">
        <f>INDEX(orders!$F:$F,MATCH(A647,orders!$C:$C,0))</f>
        <v>Chickie Ragless</v>
      </c>
      <c r="C647" s="15">
        <f>_xlfn.MAXIFS(orders!$B:$B,orders!$C:$C,A647)</f>
        <v>43562</v>
      </c>
      <c r="D647" s="14">
        <f t="shared" si="61"/>
        <v>1231</v>
      </c>
      <c r="E647" s="14">
        <f>COUNTIFS(orders!$C:$C,A647)</f>
        <v>1</v>
      </c>
      <c r="F647" s="16">
        <f>SUMIFS(orders!$M:$M,orders!$C:$C,A647)</f>
        <v>35.64</v>
      </c>
      <c r="G647" s="14" t="str">
        <f>INDEX(orders!$P:$P,MATCH(A647,orders!$C:$C,0))</f>
        <v>No</v>
      </c>
      <c r="H647" s="17">
        <f t="shared" si="62"/>
        <v>1</v>
      </c>
      <c r="I647" s="14">
        <f t="shared" si="63"/>
        <v>1</v>
      </c>
      <c r="J647">
        <f t="shared" si="64"/>
        <v>3</v>
      </c>
      <c r="K647" s="14">
        <f t="shared" si="65"/>
        <v>5</v>
      </c>
      <c r="L647" t="str">
        <f t="shared" si="66"/>
        <v>Lapsed One-Time Buyers</v>
      </c>
    </row>
    <row r="648" spans="1:12" x14ac:dyDescent="0.3">
      <c r="A648" s="12" t="s">
        <v>5148</v>
      </c>
      <c r="B648" s="14" t="str">
        <f>INDEX(orders!$F:$F,MATCH(A648,orders!$C:$C,0))</f>
        <v>Correy Bourner</v>
      </c>
      <c r="C648" s="15">
        <f>_xlfn.MAXIFS(orders!$B:$B,orders!$C:$C,A648)</f>
        <v>43781</v>
      </c>
      <c r="D648" s="14">
        <f t="shared" si="61"/>
        <v>1012</v>
      </c>
      <c r="E648" s="14">
        <f>COUNTIFS(orders!$C:$C,A648)</f>
        <v>1</v>
      </c>
      <c r="F648" s="16">
        <f>SUMIFS(orders!$M:$M,orders!$C:$C,A648)</f>
        <v>16.875</v>
      </c>
      <c r="G648" s="14" t="str">
        <f>INDEX(orders!$P:$P,MATCH(A648,orders!$C:$C,0))</f>
        <v>Yes</v>
      </c>
      <c r="H648" s="17">
        <f t="shared" si="62"/>
        <v>2</v>
      </c>
      <c r="I648" s="14">
        <f t="shared" si="63"/>
        <v>1</v>
      </c>
      <c r="J648">
        <f t="shared" si="64"/>
        <v>2</v>
      </c>
      <c r="K648" s="14">
        <f t="shared" si="65"/>
        <v>5</v>
      </c>
      <c r="L648" t="str">
        <f t="shared" si="66"/>
        <v>Lapsed One-Time Buyers</v>
      </c>
    </row>
    <row r="649" spans="1:12" x14ac:dyDescent="0.3">
      <c r="A649" s="12" t="s">
        <v>3403</v>
      </c>
      <c r="B649" s="14" t="str">
        <f>INDEX(orders!$F:$F,MATCH(A649,orders!$C:$C,0))</f>
        <v>Tildie Tilzey</v>
      </c>
      <c r="C649" s="15">
        <f>_xlfn.MAXIFS(orders!$B:$B,orders!$C:$C,A649)</f>
        <v>44673</v>
      </c>
      <c r="D649" s="14">
        <f t="shared" si="61"/>
        <v>120</v>
      </c>
      <c r="E649" s="14">
        <f>COUNTIFS(orders!$C:$C,A649)</f>
        <v>1</v>
      </c>
      <c r="F649" s="16">
        <f>SUMIFS(orders!$M:$M,orders!$C:$C,A649)</f>
        <v>21.509999999999998</v>
      </c>
      <c r="G649" s="14" t="str">
        <f>INDEX(orders!$P:$P,MATCH(A649,orders!$C:$C,0))</f>
        <v>No</v>
      </c>
      <c r="H649" s="17">
        <f t="shared" si="62"/>
        <v>5</v>
      </c>
      <c r="I649" s="14">
        <f t="shared" si="63"/>
        <v>1</v>
      </c>
      <c r="J649">
        <f t="shared" si="64"/>
        <v>2</v>
      </c>
      <c r="K649" s="14">
        <f t="shared" si="65"/>
        <v>8</v>
      </c>
      <c r="L649" t="str">
        <f t="shared" si="66"/>
        <v>Standard One-Time Buyers</v>
      </c>
    </row>
    <row r="650" spans="1:12" x14ac:dyDescent="0.3">
      <c r="A650" s="12" t="s">
        <v>4495</v>
      </c>
      <c r="B650" s="14" t="str">
        <f>INDEX(orders!$F:$F,MATCH(A650,orders!$C:$C,0))</f>
        <v>Lyell Murch</v>
      </c>
      <c r="C650" s="15">
        <f>_xlfn.MAXIFS(orders!$B:$B,orders!$C:$C,A650)</f>
        <v>43485</v>
      </c>
      <c r="D650" s="14">
        <f t="shared" si="61"/>
        <v>1308</v>
      </c>
      <c r="E650" s="14">
        <f>COUNTIFS(orders!$C:$C,A650)</f>
        <v>1</v>
      </c>
      <c r="F650" s="16">
        <f>SUMIFS(orders!$M:$M,orders!$C:$C,A650)</f>
        <v>17.82</v>
      </c>
      <c r="G650" s="14" t="str">
        <f>INDEX(orders!$P:$P,MATCH(A650,orders!$C:$C,0))</f>
        <v>Yes</v>
      </c>
      <c r="H650" s="17">
        <f t="shared" si="62"/>
        <v>1</v>
      </c>
      <c r="I650" s="14">
        <f t="shared" si="63"/>
        <v>1</v>
      </c>
      <c r="J650">
        <f t="shared" si="64"/>
        <v>2</v>
      </c>
      <c r="K650" s="14">
        <f t="shared" si="65"/>
        <v>4</v>
      </c>
      <c r="L650" t="str">
        <f t="shared" si="66"/>
        <v>Lapsed One-Time Buyers</v>
      </c>
    </row>
    <row r="651" spans="1:12" x14ac:dyDescent="0.3">
      <c r="A651" s="12" t="s">
        <v>4030</v>
      </c>
      <c r="B651" s="14" t="str">
        <f>INDEX(orders!$F:$F,MATCH(A651,orders!$C:$C,0))</f>
        <v>Byron Acarson</v>
      </c>
      <c r="C651" s="15">
        <f>_xlfn.MAXIFS(orders!$B:$B,orders!$C:$C,A651)</f>
        <v>44682</v>
      </c>
      <c r="D651" s="14">
        <f t="shared" si="61"/>
        <v>111</v>
      </c>
      <c r="E651" s="14">
        <f>COUNTIFS(orders!$C:$C,A651)</f>
        <v>1</v>
      </c>
      <c r="F651" s="16">
        <f>SUMIFS(orders!$M:$M,orders!$C:$C,A651)</f>
        <v>63.249999999999993</v>
      </c>
      <c r="G651" s="14" t="str">
        <f>INDEX(orders!$P:$P,MATCH(A651,orders!$C:$C,0))</f>
        <v>Yes</v>
      </c>
      <c r="H651" s="17">
        <f t="shared" si="62"/>
        <v>5</v>
      </c>
      <c r="I651" s="14">
        <f t="shared" si="63"/>
        <v>1</v>
      </c>
      <c r="J651">
        <f t="shared" si="64"/>
        <v>4</v>
      </c>
      <c r="K651" s="14">
        <f t="shared" si="65"/>
        <v>10</v>
      </c>
      <c r="L651" t="str">
        <f t="shared" si="66"/>
        <v>Recent High-Value (One-Time)</v>
      </c>
    </row>
    <row r="652" spans="1:12" x14ac:dyDescent="0.3">
      <c r="A652" s="12" t="s">
        <v>3005</v>
      </c>
      <c r="B652" s="14" t="str">
        <f>INDEX(orders!$F:$F,MATCH(A652,orders!$C:$C,0))</f>
        <v>Wain Cholomin</v>
      </c>
      <c r="C652" s="15">
        <f>_xlfn.MAXIFS(orders!$B:$B,orders!$C:$C,A652)</f>
        <v>43816</v>
      </c>
      <c r="D652" s="14">
        <f t="shared" si="61"/>
        <v>977</v>
      </c>
      <c r="E652" s="14">
        <f>COUNTIFS(orders!$C:$C,A652)</f>
        <v>1</v>
      </c>
      <c r="F652" s="16">
        <f>SUMIFS(orders!$M:$M,orders!$C:$C,A652)</f>
        <v>8.73</v>
      </c>
      <c r="G652" s="14" t="str">
        <f>INDEX(orders!$P:$P,MATCH(A652,orders!$C:$C,0))</f>
        <v>Yes</v>
      </c>
      <c r="H652" s="17">
        <f t="shared" si="62"/>
        <v>2</v>
      </c>
      <c r="I652" s="14">
        <f t="shared" si="63"/>
        <v>1</v>
      </c>
      <c r="J652">
        <f t="shared" si="64"/>
        <v>1</v>
      </c>
      <c r="K652" s="14">
        <f t="shared" si="65"/>
        <v>4</v>
      </c>
      <c r="L652" t="str">
        <f t="shared" si="66"/>
        <v>Lapsed One-Time Buyers</v>
      </c>
    </row>
    <row r="653" spans="1:12" x14ac:dyDescent="0.3">
      <c r="A653" s="12" t="s">
        <v>4170</v>
      </c>
      <c r="B653" s="14" t="str">
        <f>INDEX(orders!$F:$F,MATCH(A653,orders!$C:$C,0))</f>
        <v>Giana Tonnesen</v>
      </c>
      <c r="C653" s="15">
        <f>_xlfn.MAXIFS(orders!$B:$B,orders!$C:$C,A653)</f>
        <v>44084</v>
      </c>
      <c r="D653" s="14">
        <f t="shared" si="61"/>
        <v>709</v>
      </c>
      <c r="E653" s="14">
        <f>COUNTIFS(orders!$C:$C,A653)</f>
        <v>1</v>
      </c>
      <c r="F653" s="16">
        <f>SUMIFS(orders!$M:$M,orders!$C:$C,A653)</f>
        <v>47.8</v>
      </c>
      <c r="G653" s="14" t="str">
        <f>INDEX(orders!$P:$P,MATCH(A653,orders!$C:$C,0))</f>
        <v>No</v>
      </c>
      <c r="H653" s="17">
        <f t="shared" si="62"/>
        <v>3</v>
      </c>
      <c r="I653" s="14">
        <f t="shared" si="63"/>
        <v>1</v>
      </c>
      <c r="J653">
        <f t="shared" si="64"/>
        <v>4</v>
      </c>
      <c r="K653" s="14">
        <f t="shared" si="65"/>
        <v>8</v>
      </c>
      <c r="L653" t="str">
        <f t="shared" si="66"/>
        <v>Standard One-Time Buyers</v>
      </c>
    </row>
    <row r="654" spans="1:12" x14ac:dyDescent="0.3">
      <c r="A654" s="12" t="s">
        <v>3125</v>
      </c>
      <c r="B654" s="14" t="str">
        <f>INDEX(orders!$F:$F,MATCH(A654,orders!$C:$C,0))</f>
        <v>Dagny Kornel</v>
      </c>
      <c r="C654" s="15">
        <f>_xlfn.MAXIFS(orders!$B:$B,orders!$C:$C,A654)</f>
        <v>44171</v>
      </c>
      <c r="D654" s="14">
        <f t="shared" si="61"/>
        <v>622</v>
      </c>
      <c r="E654" s="14">
        <f>COUNTIFS(orders!$C:$C,A654)</f>
        <v>1</v>
      </c>
      <c r="F654" s="16">
        <f>SUMIFS(orders!$M:$M,orders!$C:$C,A654)</f>
        <v>8.9550000000000001</v>
      </c>
      <c r="G654" s="14" t="str">
        <f>INDEX(orders!$P:$P,MATCH(A654,orders!$C:$C,0))</f>
        <v>Yes</v>
      </c>
      <c r="H654" s="17">
        <f t="shared" si="62"/>
        <v>3</v>
      </c>
      <c r="I654" s="14">
        <f t="shared" si="63"/>
        <v>1</v>
      </c>
      <c r="J654">
        <f t="shared" si="64"/>
        <v>1</v>
      </c>
      <c r="K654" s="14">
        <f t="shared" si="65"/>
        <v>5</v>
      </c>
      <c r="L654" t="str">
        <f t="shared" si="66"/>
        <v>Standard One-Time Buyers</v>
      </c>
    </row>
    <row r="655" spans="1:12" x14ac:dyDescent="0.3">
      <c r="A655" s="12" t="s">
        <v>4164</v>
      </c>
      <c r="B655" s="14" t="str">
        <f>INDEX(orders!$F:$F,MATCH(A655,orders!$C:$C,0))</f>
        <v>Cecily Stebbings</v>
      </c>
      <c r="C655" s="15">
        <f>_xlfn.MAXIFS(orders!$B:$B,orders!$C:$C,A655)</f>
        <v>43507</v>
      </c>
      <c r="D655" s="14">
        <f t="shared" si="61"/>
        <v>1286</v>
      </c>
      <c r="E655" s="14">
        <f>COUNTIFS(orders!$C:$C,A655)</f>
        <v>1</v>
      </c>
      <c r="F655" s="16">
        <f>SUMIFS(orders!$M:$M,orders!$C:$C,A655)</f>
        <v>5.3699999999999992</v>
      </c>
      <c r="G655" s="14" t="str">
        <f>INDEX(orders!$P:$P,MATCH(A655,orders!$C:$C,0))</f>
        <v>Yes</v>
      </c>
      <c r="H655" s="17">
        <f t="shared" si="62"/>
        <v>1</v>
      </c>
      <c r="I655" s="14">
        <f t="shared" si="63"/>
        <v>1</v>
      </c>
      <c r="J655">
        <f t="shared" si="64"/>
        <v>1</v>
      </c>
      <c r="K655" s="14">
        <f t="shared" si="65"/>
        <v>3</v>
      </c>
      <c r="L655" t="str">
        <f t="shared" si="66"/>
        <v>Lapsed One-Time Buyers</v>
      </c>
    </row>
    <row r="656" spans="1:12" x14ac:dyDescent="0.3">
      <c r="A656" s="12" t="s">
        <v>3113</v>
      </c>
      <c r="B656" s="14" t="str">
        <f>INDEX(orders!$F:$F,MATCH(A656,orders!$C:$C,0))</f>
        <v>Annetta Brentnall</v>
      </c>
      <c r="C656" s="15">
        <f>_xlfn.MAXIFS(orders!$B:$B,orders!$C:$C,A656)</f>
        <v>43989</v>
      </c>
      <c r="D656" s="14">
        <f t="shared" si="61"/>
        <v>804</v>
      </c>
      <c r="E656" s="14">
        <f>COUNTIFS(orders!$C:$C,A656)</f>
        <v>1</v>
      </c>
      <c r="F656" s="16">
        <f>SUMIFS(orders!$M:$M,orders!$C:$C,A656)</f>
        <v>119.13999999999999</v>
      </c>
      <c r="G656" s="14" t="str">
        <f>INDEX(orders!$P:$P,MATCH(A656,orders!$C:$C,0))</f>
        <v>No</v>
      </c>
      <c r="H656" s="17">
        <f t="shared" si="62"/>
        <v>2</v>
      </c>
      <c r="I656" s="14">
        <f t="shared" si="63"/>
        <v>1</v>
      </c>
      <c r="J656">
        <f t="shared" si="64"/>
        <v>5</v>
      </c>
      <c r="K656" s="14">
        <f t="shared" si="65"/>
        <v>8</v>
      </c>
      <c r="L656" t="str">
        <f t="shared" si="66"/>
        <v>Lapsed One-Time Buyers</v>
      </c>
    </row>
    <row r="657" spans="1:12" x14ac:dyDescent="0.3">
      <c r="A657" s="12" t="s">
        <v>3678</v>
      </c>
      <c r="B657" s="14" t="str">
        <f>INDEX(orders!$F:$F,MATCH(A657,orders!$C:$C,0))</f>
        <v>Abbe Thys</v>
      </c>
      <c r="C657" s="15">
        <f>_xlfn.MAXIFS(orders!$B:$B,orders!$C:$C,A657)</f>
        <v>43883</v>
      </c>
      <c r="D657" s="14">
        <f t="shared" si="61"/>
        <v>910</v>
      </c>
      <c r="E657" s="14">
        <f>COUNTIFS(orders!$C:$C,A657)</f>
        <v>1</v>
      </c>
      <c r="F657" s="16">
        <f>SUMIFS(orders!$M:$M,orders!$C:$C,A657)</f>
        <v>14.339999999999998</v>
      </c>
      <c r="G657" s="14" t="str">
        <f>INDEX(orders!$P:$P,MATCH(A657,orders!$C:$C,0))</f>
        <v>No</v>
      </c>
      <c r="H657" s="17">
        <f t="shared" si="62"/>
        <v>2</v>
      </c>
      <c r="I657" s="14">
        <f t="shared" si="63"/>
        <v>1</v>
      </c>
      <c r="J657">
        <f t="shared" si="64"/>
        <v>2</v>
      </c>
      <c r="K657" s="14">
        <f t="shared" si="65"/>
        <v>5</v>
      </c>
      <c r="L657" t="str">
        <f t="shared" si="66"/>
        <v>Lapsed One-Time Buyers</v>
      </c>
    </row>
    <row r="658" spans="1:12" x14ac:dyDescent="0.3">
      <c r="A658" s="12" t="s">
        <v>3048</v>
      </c>
      <c r="B658" s="14" t="str">
        <f>INDEX(orders!$F:$F,MATCH(A658,orders!$C:$C,0))</f>
        <v>Nalani Pirrone</v>
      </c>
      <c r="C658" s="15">
        <f>_xlfn.MAXIFS(orders!$B:$B,orders!$C:$C,A658)</f>
        <v>44579</v>
      </c>
      <c r="D658" s="14">
        <f t="shared" si="61"/>
        <v>214</v>
      </c>
      <c r="E658" s="14">
        <f>COUNTIFS(orders!$C:$C,A658)</f>
        <v>1</v>
      </c>
      <c r="F658" s="16">
        <f>SUMIFS(orders!$M:$M,orders!$C:$C,A658)</f>
        <v>38.04</v>
      </c>
      <c r="G658" s="14" t="str">
        <f>INDEX(orders!$P:$P,MATCH(A658,orders!$C:$C,0))</f>
        <v>No</v>
      </c>
      <c r="H658" s="17">
        <f t="shared" si="62"/>
        <v>5</v>
      </c>
      <c r="I658" s="14">
        <f t="shared" si="63"/>
        <v>1</v>
      </c>
      <c r="J658">
        <f t="shared" si="64"/>
        <v>3</v>
      </c>
      <c r="K658" s="14">
        <f t="shared" si="65"/>
        <v>9</v>
      </c>
      <c r="L658" t="str">
        <f t="shared" si="66"/>
        <v>Standard One-Time Buyers</v>
      </c>
    </row>
    <row r="659" spans="1:12" x14ac:dyDescent="0.3">
      <c r="A659" s="12" t="s">
        <v>2825</v>
      </c>
      <c r="B659" s="14" t="str">
        <f>INDEX(orders!$F:$F,MATCH(A659,orders!$C:$C,0))</f>
        <v>Kiri Avramow</v>
      </c>
      <c r="C659" s="15">
        <f>_xlfn.MAXIFS(orders!$B:$B,orders!$C:$C,A659)</f>
        <v>43802</v>
      </c>
      <c r="D659" s="14">
        <f t="shared" si="61"/>
        <v>991</v>
      </c>
      <c r="E659" s="14">
        <f>COUNTIFS(orders!$C:$C,A659)</f>
        <v>1</v>
      </c>
      <c r="F659" s="16">
        <f>SUMIFS(orders!$M:$M,orders!$C:$C,A659)</f>
        <v>10.754999999999999</v>
      </c>
      <c r="G659" s="14" t="str">
        <f>INDEX(orders!$P:$P,MATCH(A659,orders!$C:$C,0))</f>
        <v>Yes</v>
      </c>
      <c r="H659" s="17">
        <f t="shared" si="62"/>
        <v>2</v>
      </c>
      <c r="I659" s="14">
        <f t="shared" si="63"/>
        <v>1</v>
      </c>
      <c r="J659">
        <f t="shared" si="64"/>
        <v>1</v>
      </c>
      <c r="K659" s="14">
        <f t="shared" si="65"/>
        <v>4</v>
      </c>
      <c r="L659" t="str">
        <f t="shared" si="66"/>
        <v>Lapsed One-Time Buyers</v>
      </c>
    </row>
    <row r="660" spans="1:12" x14ac:dyDescent="0.3">
      <c r="A660" s="12" t="s">
        <v>1385</v>
      </c>
      <c r="B660" s="14" t="str">
        <f>INDEX(orders!$F:$F,MATCH(A660,orders!$C:$C,0))</f>
        <v>Alexa Sizey</v>
      </c>
      <c r="C660" s="15">
        <f>_xlfn.MAXIFS(orders!$B:$B,orders!$C:$C,A660)</f>
        <v>44316</v>
      </c>
      <c r="D660" s="14">
        <f t="shared" si="61"/>
        <v>477</v>
      </c>
      <c r="E660" s="14">
        <f>COUNTIFS(orders!$C:$C,A660)</f>
        <v>1</v>
      </c>
      <c r="F660" s="16">
        <f>SUMIFS(orders!$M:$M,orders!$C:$C,A660)</f>
        <v>218.73</v>
      </c>
      <c r="G660" s="14" t="str">
        <f>INDEX(orders!$P:$P,MATCH(A660,orders!$C:$C,0))</f>
        <v>No</v>
      </c>
      <c r="H660" s="17">
        <f t="shared" si="62"/>
        <v>4</v>
      </c>
      <c r="I660" s="14">
        <f t="shared" si="63"/>
        <v>1</v>
      </c>
      <c r="J660">
        <f t="shared" si="64"/>
        <v>5</v>
      </c>
      <c r="K660" s="14">
        <f t="shared" si="65"/>
        <v>10</v>
      </c>
      <c r="L660" t="str">
        <f t="shared" si="66"/>
        <v>Recent High-Value (One-Time)</v>
      </c>
    </row>
    <row r="661" spans="1:12" x14ac:dyDescent="0.3">
      <c r="A661" s="12" t="s">
        <v>4326</v>
      </c>
      <c r="B661" s="14" t="str">
        <f>INDEX(orders!$F:$F,MATCH(A661,orders!$C:$C,0))</f>
        <v>Adrianne Vairow</v>
      </c>
      <c r="C661" s="15">
        <f>_xlfn.MAXIFS(orders!$B:$B,orders!$C:$C,A661)</f>
        <v>44645</v>
      </c>
      <c r="D661" s="14">
        <f t="shared" si="61"/>
        <v>148</v>
      </c>
      <c r="E661" s="14">
        <f>COUNTIFS(orders!$C:$C,A661)</f>
        <v>1</v>
      </c>
      <c r="F661" s="16">
        <f>SUMIFS(orders!$M:$M,orders!$C:$C,A661)</f>
        <v>27.484999999999996</v>
      </c>
      <c r="G661" s="14" t="str">
        <f>INDEX(orders!$P:$P,MATCH(A661,orders!$C:$C,0))</f>
        <v>No</v>
      </c>
      <c r="H661" s="17">
        <f t="shared" si="62"/>
        <v>5</v>
      </c>
      <c r="I661" s="14">
        <f t="shared" si="63"/>
        <v>1</v>
      </c>
      <c r="J661">
        <f t="shared" si="64"/>
        <v>3</v>
      </c>
      <c r="K661" s="14">
        <f t="shared" si="65"/>
        <v>9</v>
      </c>
      <c r="L661" t="str">
        <f t="shared" si="66"/>
        <v>Standard One-Time Buyers</v>
      </c>
    </row>
    <row r="662" spans="1:12" x14ac:dyDescent="0.3">
      <c r="A662" s="12" t="s">
        <v>1726</v>
      </c>
      <c r="B662" s="14" t="str">
        <f>INDEX(orders!$F:$F,MATCH(A662,orders!$C:$C,0))</f>
        <v>Charis Crosier</v>
      </c>
      <c r="C662" s="15">
        <f>_xlfn.MAXIFS(orders!$B:$B,orders!$C:$C,A662)</f>
        <v>44777</v>
      </c>
      <c r="D662" s="14">
        <f t="shared" si="61"/>
        <v>16</v>
      </c>
      <c r="E662" s="14">
        <f>COUNTIFS(orders!$C:$C,A662)</f>
        <v>2</v>
      </c>
      <c r="F662" s="16">
        <f>SUMIFS(orders!$M:$M,orders!$C:$C,A662)</f>
        <v>25.68</v>
      </c>
      <c r="G662" s="14" t="str">
        <f>INDEX(orders!$P:$P,MATCH(A662,orders!$C:$C,0))</f>
        <v>No</v>
      </c>
      <c r="H662" s="17">
        <f t="shared" si="62"/>
        <v>5</v>
      </c>
      <c r="I662" s="14">
        <f t="shared" si="63"/>
        <v>3</v>
      </c>
      <c r="J662">
        <f t="shared" si="64"/>
        <v>2</v>
      </c>
      <c r="K662" s="14">
        <f t="shared" si="65"/>
        <v>10</v>
      </c>
      <c r="L662" t="str">
        <f t="shared" si="66"/>
        <v>Loyal Repeat Customers</v>
      </c>
    </row>
    <row r="663" spans="1:12" x14ac:dyDescent="0.3">
      <c r="A663" s="12" t="s">
        <v>4927</v>
      </c>
      <c r="B663" s="14" t="str">
        <f>INDEX(orders!$F:$F,MATCH(A663,orders!$C:$C,0))</f>
        <v>Haslett Jodrelle</v>
      </c>
      <c r="C663" s="15">
        <f>_xlfn.MAXIFS(orders!$B:$B,orders!$C:$C,A663)</f>
        <v>44362</v>
      </c>
      <c r="D663" s="14">
        <f t="shared" si="61"/>
        <v>431</v>
      </c>
      <c r="E663" s="14">
        <f>COUNTIFS(orders!$C:$C,A663)</f>
        <v>1</v>
      </c>
      <c r="F663" s="16">
        <f>SUMIFS(orders!$M:$M,orders!$C:$C,A663)</f>
        <v>22.884999999999998</v>
      </c>
      <c r="G663" s="14" t="str">
        <f>INDEX(orders!$P:$P,MATCH(A663,orders!$C:$C,0))</f>
        <v>No</v>
      </c>
      <c r="H663" s="17">
        <f t="shared" si="62"/>
        <v>4</v>
      </c>
      <c r="I663" s="14">
        <f t="shared" si="63"/>
        <v>1</v>
      </c>
      <c r="J663">
        <f t="shared" si="64"/>
        <v>2</v>
      </c>
      <c r="K663" s="14">
        <f t="shared" si="65"/>
        <v>7</v>
      </c>
      <c r="L663" t="str">
        <f t="shared" si="66"/>
        <v>Standard One-Time Buyers</v>
      </c>
    </row>
    <row r="664" spans="1:12" x14ac:dyDescent="0.3">
      <c r="A664" s="12" t="s">
        <v>5194</v>
      </c>
      <c r="B664" s="14" t="str">
        <f>INDEX(orders!$F:$F,MATCH(A664,orders!$C:$C,0))</f>
        <v>Isac Jesper</v>
      </c>
      <c r="C664" s="15">
        <f>_xlfn.MAXIFS(orders!$B:$B,orders!$C:$C,A664)</f>
        <v>44274</v>
      </c>
      <c r="D664" s="14">
        <f t="shared" si="61"/>
        <v>519</v>
      </c>
      <c r="E664" s="14">
        <f>COUNTIFS(orders!$C:$C,A664)</f>
        <v>1</v>
      </c>
      <c r="F664" s="16">
        <f>SUMIFS(orders!$M:$M,orders!$C:$C,A664)</f>
        <v>59.699999999999996</v>
      </c>
      <c r="G664" s="14" t="str">
        <f>INDEX(orders!$P:$P,MATCH(A664,orders!$C:$C,0))</f>
        <v>No</v>
      </c>
      <c r="H664" s="17">
        <f t="shared" si="62"/>
        <v>3</v>
      </c>
      <c r="I664" s="14">
        <f t="shared" si="63"/>
        <v>1</v>
      </c>
      <c r="J664">
        <f t="shared" si="64"/>
        <v>4</v>
      </c>
      <c r="K664" s="14">
        <f t="shared" si="65"/>
        <v>8</v>
      </c>
      <c r="L664" t="str">
        <f t="shared" si="66"/>
        <v>Standard One-Time Buyers</v>
      </c>
    </row>
    <row r="665" spans="1:12" x14ac:dyDescent="0.3">
      <c r="A665" s="12" t="s">
        <v>3517</v>
      </c>
      <c r="B665" s="14" t="str">
        <f>INDEX(orders!$F:$F,MATCH(A665,orders!$C:$C,0))</f>
        <v>Timoteo Glisane</v>
      </c>
      <c r="C665" s="15">
        <f>_xlfn.MAXIFS(orders!$B:$B,orders!$C:$C,A665)</f>
        <v>44585</v>
      </c>
      <c r="D665" s="14">
        <f t="shared" si="61"/>
        <v>208</v>
      </c>
      <c r="E665" s="14">
        <f>COUNTIFS(orders!$C:$C,A665)</f>
        <v>1</v>
      </c>
      <c r="F665" s="16">
        <f>SUMIFS(orders!$M:$M,orders!$C:$C,A665)</f>
        <v>9.51</v>
      </c>
      <c r="G665" s="14" t="str">
        <f>INDEX(orders!$P:$P,MATCH(A665,orders!$C:$C,0))</f>
        <v>No</v>
      </c>
      <c r="H665" s="17">
        <f t="shared" si="62"/>
        <v>5</v>
      </c>
      <c r="I665" s="14">
        <f t="shared" si="63"/>
        <v>1</v>
      </c>
      <c r="J665">
        <f t="shared" si="64"/>
        <v>1</v>
      </c>
      <c r="K665" s="14">
        <f t="shared" si="65"/>
        <v>7</v>
      </c>
      <c r="L665" t="str">
        <f t="shared" si="66"/>
        <v>Standard One-Time Buyers</v>
      </c>
    </row>
    <row r="666" spans="1:12" x14ac:dyDescent="0.3">
      <c r="A666" s="12" t="s">
        <v>727</v>
      </c>
      <c r="B666" s="14" t="str">
        <f>INDEX(orders!$F:$F,MATCH(A666,orders!$C:$C,0))</f>
        <v>Abigail Tolworthy</v>
      </c>
      <c r="C666" s="15">
        <f>_xlfn.MAXIFS(orders!$B:$B,orders!$C:$C,A666)</f>
        <v>43607</v>
      </c>
      <c r="D666" s="14">
        <f t="shared" si="61"/>
        <v>1186</v>
      </c>
      <c r="E666" s="14">
        <f>COUNTIFS(orders!$C:$C,A666)</f>
        <v>1</v>
      </c>
      <c r="F666" s="16">
        <f>SUMIFS(orders!$M:$M,orders!$C:$C,A666)</f>
        <v>8.0549999999999997</v>
      </c>
      <c r="G666" s="14" t="str">
        <f>INDEX(orders!$P:$P,MATCH(A666,orders!$C:$C,0))</f>
        <v>Yes</v>
      </c>
      <c r="H666" s="17">
        <f t="shared" si="62"/>
        <v>1</v>
      </c>
      <c r="I666" s="14">
        <f t="shared" si="63"/>
        <v>1</v>
      </c>
      <c r="J666">
        <f t="shared" si="64"/>
        <v>1</v>
      </c>
      <c r="K666" s="14">
        <f t="shared" si="65"/>
        <v>3</v>
      </c>
      <c r="L666" t="str">
        <f t="shared" si="66"/>
        <v>Lapsed One-Time Buyers</v>
      </c>
    </row>
    <row r="667" spans="1:12" x14ac:dyDescent="0.3">
      <c r="A667" s="12" t="s">
        <v>3560</v>
      </c>
      <c r="B667" s="14" t="str">
        <f>INDEX(orders!$F:$F,MATCH(A667,orders!$C:$C,0))</f>
        <v>Ilaire Sprakes</v>
      </c>
      <c r="C667" s="15">
        <f>_xlfn.MAXIFS(orders!$B:$B,orders!$C:$C,A667)</f>
        <v>44380</v>
      </c>
      <c r="D667" s="14">
        <f t="shared" si="61"/>
        <v>413</v>
      </c>
      <c r="E667" s="14">
        <f>COUNTIFS(orders!$C:$C,A667)</f>
        <v>1</v>
      </c>
      <c r="F667" s="16">
        <f>SUMIFS(orders!$M:$M,orders!$C:$C,A667)</f>
        <v>54.969999999999992</v>
      </c>
      <c r="G667" s="14" t="str">
        <f>INDEX(orders!$P:$P,MATCH(A667,orders!$C:$C,0))</f>
        <v>No</v>
      </c>
      <c r="H667" s="17">
        <f t="shared" si="62"/>
        <v>4</v>
      </c>
      <c r="I667" s="14">
        <f t="shared" si="63"/>
        <v>1</v>
      </c>
      <c r="J667">
        <f t="shared" si="64"/>
        <v>4</v>
      </c>
      <c r="K667" s="14">
        <f t="shared" si="65"/>
        <v>9</v>
      </c>
      <c r="L667" t="str">
        <f t="shared" si="66"/>
        <v>Recent High-Value (One-Time)</v>
      </c>
    </row>
    <row r="668" spans="1:12" x14ac:dyDescent="0.3">
      <c r="A668" s="12" t="s">
        <v>3267</v>
      </c>
      <c r="B668" s="14" t="str">
        <f>INDEX(orders!$F:$F,MATCH(A668,orders!$C:$C,0))</f>
        <v>Kendra Backshell</v>
      </c>
      <c r="C668" s="15">
        <f>_xlfn.MAXIFS(orders!$B:$B,orders!$C:$C,A668)</f>
        <v>44101</v>
      </c>
      <c r="D668" s="14">
        <f t="shared" si="61"/>
        <v>692</v>
      </c>
      <c r="E668" s="14">
        <f>COUNTIFS(orders!$C:$C,A668)</f>
        <v>1</v>
      </c>
      <c r="F668" s="16">
        <f>SUMIFS(orders!$M:$M,orders!$C:$C,A668)</f>
        <v>23.31</v>
      </c>
      <c r="G668" s="14" t="str">
        <f>INDEX(orders!$P:$P,MATCH(A668,orders!$C:$C,0))</f>
        <v>No</v>
      </c>
      <c r="H668" s="17">
        <f t="shared" si="62"/>
        <v>3</v>
      </c>
      <c r="I668" s="14">
        <f t="shared" si="63"/>
        <v>1</v>
      </c>
      <c r="J668">
        <f t="shared" si="64"/>
        <v>2</v>
      </c>
      <c r="K668" s="14">
        <f t="shared" si="65"/>
        <v>6</v>
      </c>
      <c r="L668" t="str">
        <f t="shared" si="66"/>
        <v>Standard One-Time Buyers</v>
      </c>
    </row>
    <row r="669" spans="1:12" x14ac:dyDescent="0.3">
      <c r="A669" s="12" t="s">
        <v>1380</v>
      </c>
      <c r="B669" s="14" t="str">
        <f>INDEX(orders!$F:$F,MATCH(A669,orders!$C:$C,0))</f>
        <v>Say Risborough</v>
      </c>
      <c r="C669" s="15">
        <f>_xlfn.MAXIFS(orders!$B:$B,orders!$C:$C,A669)</f>
        <v>43714</v>
      </c>
      <c r="D669" s="14">
        <f t="shared" si="61"/>
        <v>1079</v>
      </c>
      <c r="E669" s="14">
        <f>COUNTIFS(orders!$C:$C,A669)</f>
        <v>1</v>
      </c>
      <c r="F669" s="16">
        <f>SUMIFS(orders!$M:$M,orders!$C:$C,A669)</f>
        <v>123.50999999999999</v>
      </c>
      <c r="G669" s="14" t="str">
        <f>INDEX(orders!$P:$P,MATCH(A669,orders!$C:$C,0))</f>
        <v>Yes</v>
      </c>
      <c r="H669" s="17">
        <f t="shared" si="62"/>
        <v>1</v>
      </c>
      <c r="I669" s="14">
        <f t="shared" si="63"/>
        <v>1</v>
      </c>
      <c r="J669">
        <f t="shared" si="64"/>
        <v>5</v>
      </c>
      <c r="K669" s="14">
        <f t="shared" si="65"/>
        <v>7</v>
      </c>
      <c r="L669" t="str">
        <f t="shared" si="66"/>
        <v>Lapsed One-Time Buyers</v>
      </c>
    </row>
    <row r="670" spans="1:12" x14ac:dyDescent="0.3">
      <c r="A670" s="12" t="s">
        <v>3588</v>
      </c>
      <c r="B670" s="14" t="str">
        <f>INDEX(orders!$F:$F,MATCH(A670,orders!$C:$C,0))</f>
        <v>Bette-ann Munden</v>
      </c>
      <c r="C670" s="15">
        <f>_xlfn.MAXIFS(orders!$B:$B,orders!$C:$C,A670)</f>
        <v>44384</v>
      </c>
      <c r="D670" s="14">
        <f t="shared" si="61"/>
        <v>409</v>
      </c>
      <c r="E670" s="14">
        <f>COUNTIFS(orders!$C:$C,A670)</f>
        <v>1</v>
      </c>
      <c r="F670" s="16">
        <f>SUMIFS(orders!$M:$M,orders!$C:$C,A670)</f>
        <v>13.365</v>
      </c>
      <c r="G670" s="14" t="str">
        <f>INDEX(orders!$P:$P,MATCH(A670,orders!$C:$C,0))</f>
        <v>Yes</v>
      </c>
      <c r="H670" s="17">
        <f t="shared" si="62"/>
        <v>4</v>
      </c>
      <c r="I670" s="14">
        <f t="shared" si="63"/>
        <v>1</v>
      </c>
      <c r="J670">
        <f t="shared" si="64"/>
        <v>1</v>
      </c>
      <c r="K670" s="14">
        <f t="shared" si="65"/>
        <v>6</v>
      </c>
      <c r="L670" t="str">
        <f t="shared" si="66"/>
        <v>Standard One-Time Buyers</v>
      </c>
    </row>
    <row r="671" spans="1:12" x14ac:dyDescent="0.3">
      <c r="A671" s="12" t="s">
        <v>2793</v>
      </c>
      <c r="B671" s="14" t="str">
        <f>INDEX(orders!$F:$F,MATCH(A671,orders!$C:$C,0))</f>
        <v>Felice Miell</v>
      </c>
      <c r="C671" s="15">
        <f>_xlfn.MAXIFS(orders!$B:$B,orders!$C:$C,A671)</f>
        <v>44659</v>
      </c>
      <c r="D671" s="14">
        <f t="shared" si="61"/>
        <v>134</v>
      </c>
      <c r="E671" s="14">
        <f>COUNTIFS(orders!$C:$C,A671)</f>
        <v>1</v>
      </c>
      <c r="F671" s="16">
        <f>SUMIFS(orders!$M:$M,orders!$C:$C,A671)</f>
        <v>51.749999999999993</v>
      </c>
      <c r="G671" s="14" t="str">
        <f>INDEX(orders!$P:$P,MATCH(A671,orders!$C:$C,0))</f>
        <v>Yes</v>
      </c>
      <c r="H671" s="17">
        <f t="shared" si="62"/>
        <v>5</v>
      </c>
      <c r="I671" s="14">
        <f t="shared" si="63"/>
        <v>1</v>
      </c>
      <c r="J671">
        <f t="shared" si="64"/>
        <v>4</v>
      </c>
      <c r="K671" s="14">
        <f t="shared" si="65"/>
        <v>10</v>
      </c>
      <c r="L671" t="str">
        <f t="shared" si="66"/>
        <v>Recent High-Value (One-Time)</v>
      </c>
    </row>
    <row r="672" spans="1:12" x14ac:dyDescent="0.3">
      <c r="A672" s="12" t="s">
        <v>3549</v>
      </c>
      <c r="B672" s="14" t="str">
        <f>INDEX(orders!$F:$F,MATCH(A672,orders!$C:$C,0))</f>
        <v>Lora Dukes</v>
      </c>
      <c r="C672" s="15">
        <f>_xlfn.MAXIFS(orders!$B:$B,orders!$C:$C,A672)</f>
        <v>43750</v>
      </c>
      <c r="D672" s="14">
        <f t="shared" si="61"/>
        <v>1043</v>
      </c>
      <c r="E672" s="14">
        <f>COUNTIFS(orders!$C:$C,A672)</f>
        <v>1</v>
      </c>
      <c r="F672" s="16">
        <f>SUMIFS(orders!$M:$M,orders!$C:$C,A672)</f>
        <v>22.884999999999998</v>
      </c>
      <c r="G672" s="14" t="str">
        <f>INDEX(orders!$P:$P,MATCH(A672,orders!$C:$C,0))</f>
        <v>Yes</v>
      </c>
      <c r="H672" s="17">
        <f t="shared" si="62"/>
        <v>1</v>
      </c>
      <c r="I672" s="14">
        <f t="shared" si="63"/>
        <v>1</v>
      </c>
      <c r="J672">
        <f t="shared" si="64"/>
        <v>2</v>
      </c>
      <c r="K672" s="14">
        <f t="shared" si="65"/>
        <v>4</v>
      </c>
      <c r="L672" t="str">
        <f t="shared" si="66"/>
        <v>Lapsed One-Time Buyers</v>
      </c>
    </row>
    <row r="673" spans="1:12" x14ac:dyDescent="0.3">
      <c r="A673" s="12" t="s">
        <v>4003</v>
      </c>
      <c r="B673" s="14" t="str">
        <f>INDEX(orders!$F:$F,MATCH(A673,orders!$C:$C,0))</f>
        <v>Bertine Byrd</v>
      </c>
      <c r="C673" s="15">
        <f>_xlfn.MAXIFS(orders!$B:$B,orders!$C:$C,A673)</f>
        <v>43527</v>
      </c>
      <c r="D673" s="14">
        <f t="shared" si="61"/>
        <v>1266</v>
      </c>
      <c r="E673" s="14">
        <f>COUNTIFS(orders!$C:$C,A673)</f>
        <v>1</v>
      </c>
      <c r="F673" s="16">
        <f>SUMIFS(orders!$M:$M,orders!$C:$C,A673)</f>
        <v>133.85999999999999</v>
      </c>
      <c r="G673" s="14" t="str">
        <f>INDEX(orders!$P:$P,MATCH(A673,orders!$C:$C,0))</f>
        <v>No</v>
      </c>
      <c r="H673" s="17">
        <f t="shared" si="62"/>
        <v>1</v>
      </c>
      <c r="I673" s="14">
        <f t="shared" si="63"/>
        <v>1</v>
      </c>
      <c r="J673">
        <f t="shared" si="64"/>
        <v>5</v>
      </c>
      <c r="K673" s="14">
        <f t="shared" si="65"/>
        <v>7</v>
      </c>
      <c r="L673" t="str">
        <f t="shared" si="66"/>
        <v>Lapsed One-Time Buyers</v>
      </c>
    </row>
    <row r="674" spans="1:12" x14ac:dyDescent="0.3">
      <c r="A674" s="12" t="s">
        <v>1193</v>
      </c>
      <c r="B674" s="14" t="str">
        <f>INDEX(orders!$F:$F,MATCH(A674,orders!$C:$C,0))</f>
        <v>Stevana Woodham</v>
      </c>
      <c r="C674" s="15">
        <f>_xlfn.MAXIFS(orders!$B:$B,orders!$C:$C,A674)</f>
        <v>43608</v>
      </c>
      <c r="D674" s="14">
        <f t="shared" si="61"/>
        <v>1185</v>
      </c>
      <c r="E674" s="14">
        <f>COUNTIFS(orders!$C:$C,A674)</f>
        <v>1</v>
      </c>
      <c r="F674" s="16">
        <f>SUMIFS(orders!$M:$M,orders!$C:$C,A674)</f>
        <v>26.19</v>
      </c>
      <c r="G674" s="14" t="str">
        <f>INDEX(orders!$P:$P,MATCH(A674,orders!$C:$C,0))</f>
        <v>Yes</v>
      </c>
      <c r="H674" s="17">
        <f t="shared" si="62"/>
        <v>1</v>
      </c>
      <c r="I674" s="14">
        <f t="shared" si="63"/>
        <v>1</v>
      </c>
      <c r="J674">
        <f t="shared" si="64"/>
        <v>3</v>
      </c>
      <c r="K674" s="14">
        <f t="shared" si="65"/>
        <v>5</v>
      </c>
      <c r="L674" t="str">
        <f t="shared" si="66"/>
        <v>Lapsed One-Time Buyers</v>
      </c>
    </row>
    <row r="675" spans="1:12" x14ac:dyDescent="0.3">
      <c r="A675" s="12" t="s">
        <v>2245</v>
      </c>
      <c r="B675" s="14" t="str">
        <f>INDEX(orders!$F:$F,MATCH(A675,orders!$C:$C,0))</f>
        <v>Claudetta Rushe</v>
      </c>
      <c r="C675" s="15">
        <f>_xlfn.MAXIFS(orders!$B:$B,orders!$C:$C,A675)</f>
        <v>43951</v>
      </c>
      <c r="D675" s="14">
        <f t="shared" si="61"/>
        <v>842</v>
      </c>
      <c r="E675" s="14">
        <f>COUNTIFS(orders!$C:$C,A675)</f>
        <v>2</v>
      </c>
      <c r="F675" s="16">
        <f>SUMIFS(orders!$M:$M,orders!$C:$C,A675)</f>
        <v>193.63499999999996</v>
      </c>
      <c r="G675" s="14" t="str">
        <f>INDEX(orders!$P:$P,MATCH(A675,orders!$C:$C,0))</f>
        <v>Yes</v>
      </c>
      <c r="H675" s="17">
        <f t="shared" si="62"/>
        <v>2</v>
      </c>
      <c r="I675" s="14">
        <f t="shared" si="63"/>
        <v>3</v>
      </c>
      <c r="J675">
        <f t="shared" si="64"/>
        <v>5</v>
      </c>
      <c r="K675" s="14">
        <f t="shared" si="65"/>
        <v>10</v>
      </c>
      <c r="L675" t="str">
        <f t="shared" si="66"/>
        <v>At-Risk Repeat Customers</v>
      </c>
    </row>
    <row r="676" spans="1:12" x14ac:dyDescent="0.3">
      <c r="A676" s="12" t="s">
        <v>2592</v>
      </c>
      <c r="B676" s="14" t="str">
        <f>INDEX(orders!$F:$F,MATCH(A676,orders!$C:$C,0))</f>
        <v>Corney Curme</v>
      </c>
      <c r="C676" s="15">
        <f>_xlfn.MAXIFS(orders!$B:$B,orders!$C:$C,A676)</f>
        <v>44742</v>
      </c>
      <c r="D676" s="14">
        <f t="shared" si="61"/>
        <v>51</v>
      </c>
      <c r="E676" s="14">
        <f>COUNTIFS(orders!$C:$C,A676)</f>
        <v>1</v>
      </c>
      <c r="F676" s="16">
        <f>SUMIFS(orders!$M:$M,orders!$C:$C,A676)</f>
        <v>17.91</v>
      </c>
      <c r="G676" s="14" t="str">
        <f>INDEX(orders!$P:$P,MATCH(A676,orders!$C:$C,0))</f>
        <v>Yes</v>
      </c>
      <c r="H676" s="17">
        <f t="shared" si="62"/>
        <v>5</v>
      </c>
      <c r="I676" s="14">
        <f t="shared" si="63"/>
        <v>1</v>
      </c>
      <c r="J676">
        <f t="shared" si="64"/>
        <v>2</v>
      </c>
      <c r="K676" s="14">
        <f t="shared" si="65"/>
        <v>8</v>
      </c>
      <c r="L676" t="str">
        <f t="shared" si="66"/>
        <v>Standard One-Time Buyers</v>
      </c>
    </row>
    <row r="677" spans="1:12" x14ac:dyDescent="0.3">
      <c r="A677" s="12" t="s">
        <v>4069</v>
      </c>
      <c r="B677" s="14" t="str">
        <f>INDEX(orders!$F:$F,MATCH(A677,orders!$C:$C,0))</f>
        <v>Lindy Uttermare</v>
      </c>
      <c r="C677" s="15">
        <f>_xlfn.MAXIFS(orders!$B:$B,orders!$C:$C,A677)</f>
        <v>43940</v>
      </c>
      <c r="D677" s="14">
        <f t="shared" si="61"/>
        <v>853</v>
      </c>
      <c r="E677" s="14">
        <f>COUNTIFS(orders!$C:$C,A677)</f>
        <v>1</v>
      </c>
      <c r="F677" s="16">
        <f>SUMIFS(orders!$M:$M,orders!$C:$C,A677)</f>
        <v>43.650000000000006</v>
      </c>
      <c r="G677" s="14" t="str">
        <f>INDEX(orders!$P:$P,MATCH(A677,orders!$C:$C,0))</f>
        <v>No</v>
      </c>
      <c r="H677" s="17">
        <f t="shared" si="62"/>
        <v>2</v>
      </c>
      <c r="I677" s="14">
        <f t="shared" si="63"/>
        <v>1</v>
      </c>
      <c r="J677">
        <f t="shared" si="64"/>
        <v>4</v>
      </c>
      <c r="K677" s="14">
        <f t="shared" si="65"/>
        <v>7</v>
      </c>
      <c r="L677" t="str">
        <f t="shared" si="66"/>
        <v>Lapsed One-Time Buyers</v>
      </c>
    </row>
    <row r="678" spans="1:12" x14ac:dyDescent="0.3">
      <c r="A678" s="12" t="s">
        <v>5627</v>
      </c>
      <c r="B678" s="14" t="str">
        <f>INDEX(orders!$F:$F,MATCH(A678,orders!$C:$C,0))</f>
        <v>Gustaf Ciccotti</v>
      </c>
      <c r="C678" s="15">
        <f>_xlfn.MAXIFS(orders!$B:$B,orders!$C:$C,A678)</f>
        <v>43836</v>
      </c>
      <c r="D678" s="14">
        <f t="shared" si="61"/>
        <v>957</v>
      </c>
      <c r="E678" s="14">
        <f>COUNTIFS(orders!$C:$C,A678)</f>
        <v>1</v>
      </c>
      <c r="F678" s="16">
        <f>SUMIFS(orders!$M:$M,orders!$C:$C,A678)</f>
        <v>59.75</v>
      </c>
      <c r="G678" s="14" t="str">
        <f>INDEX(orders!$P:$P,MATCH(A678,orders!$C:$C,0))</f>
        <v>No</v>
      </c>
      <c r="H678" s="17">
        <f t="shared" si="62"/>
        <v>2</v>
      </c>
      <c r="I678" s="14">
        <f t="shared" si="63"/>
        <v>1</v>
      </c>
      <c r="J678">
        <f t="shared" si="64"/>
        <v>4</v>
      </c>
      <c r="K678" s="14">
        <f t="shared" si="65"/>
        <v>7</v>
      </c>
      <c r="L678" t="str">
        <f t="shared" si="66"/>
        <v>Lapsed One-Time Buyers</v>
      </c>
    </row>
    <row r="679" spans="1:12" x14ac:dyDescent="0.3">
      <c r="A679" s="12" t="s">
        <v>5269</v>
      </c>
      <c r="B679" s="14" t="str">
        <f>INDEX(orders!$F:$F,MATCH(A679,orders!$C:$C,0))</f>
        <v>Murielle Lorinez</v>
      </c>
      <c r="C679" s="15">
        <f>_xlfn.MAXIFS(orders!$B:$B,orders!$C:$C,A679)</f>
        <v>43889</v>
      </c>
      <c r="D679" s="14">
        <f t="shared" si="61"/>
        <v>904</v>
      </c>
      <c r="E679" s="14">
        <f>COUNTIFS(orders!$C:$C,A679)</f>
        <v>1</v>
      </c>
      <c r="F679" s="16">
        <f>SUMIFS(orders!$M:$M,orders!$C:$C,A679)</f>
        <v>167.67000000000002</v>
      </c>
      <c r="G679" s="14" t="str">
        <f>INDEX(orders!$P:$P,MATCH(A679,orders!$C:$C,0))</f>
        <v>No</v>
      </c>
      <c r="H679" s="17">
        <f t="shared" si="62"/>
        <v>2</v>
      </c>
      <c r="I679" s="14">
        <f t="shared" si="63"/>
        <v>1</v>
      </c>
      <c r="J679">
        <f t="shared" si="64"/>
        <v>5</v>
      </c>
      <c r="K679" s="14">
        <f t="shared" si="65"/>
        <v>8</v>
      </c>
      <c r="L679" t="str">
        <f t="shared" si="66"/>
        <v>Lapsed One-Time Buyers</v>
      </c>
    </row>
    <row r="680" spans="1:12" x14ac:dyDescent="0.3">
      <c r="A680" s="12" t="s">
        <v>3813</v>
      </c>
      <c r="B680" s="14" t="str">
        <f>INDEX(orders!$F:$F,MATCH(A680,orders!$C:$C,0))</f>
        <v>Valenka Stansbury</v>
      </c>
      <c r="C680" s="15">
        <f>_xlfn.MAXIFS(orders!$B:$B,orders!$C:$C,A680)</f>
        <v>44046</v>
      </c>
      <c r="D680" s="14">
        <f t="shared" si="61"/>
        <v>747</v>
      </c>
      <c r="E680" s="14">
        <f>COUNTIFS(orders!$C:$C,A680)</f>
        <v>1</v>
      </c>
      <c r="F680" s="16">
        <f>SUMIFS(orders!$M:$M,orders!$C:$C,A680)</f>
        <v>11.94</v>
      </c>
      <c r="G680" s="14" t="str">
        <f>INDEX(orders!$P:$P,MATCH(A680,orders!$C:$C,0))</f>
        <v>Yes</v>
      </c>
      <c r="H680" s="17">
        <f t="shared" si="62"/>
        <v>3</v>
      </c>
      <c r="I680" s="14">
        <f t="shared" si="63"/>
        <v>1</v>
      </c>
      <c r="J680">
        <f t="shared" si="64"/>
        <v>1</v>
      </c>
      <c r="K680" s="14">
        <f t="shared" si="65"/>
        <v>5</v>
      </c>
      <c r="L680" t="str">
        <f t="shared" si="66"/>
        <v>Standard One-Time Buyers</v>
      </c>
    </row>
    <row r="681" spans="1:12" x14ac:dyDescent="0.3">
      <c r="A681" s="12" t="s">
        <v>5085</v>
      </c>
      <c r="B681" s="14" t="str">
        <f>INDEX(orders!$F:$F,MATCH(A681,orders!$C:$C,0))</f>
        <v>Conchita Bryde</v>
      </c>
      <c r="C681" s="15">
        <f>_xlfn.MAXIFS(orders!$B:$B,orders!$C:$C,A681)</f>
        <v>44173</v>
      </c>
      <c r="D681" s="14">
        <f t="shared" si="61"/>
        <v>620</v>
      </c>
      <c r="E681" s="14">
        <f>COUNTIFS(orders!$C:$C,A681)</f>
        <v>1</v>
      </c>
      <c r="F681" s="16">
        <f>SUMIFS(orders!$M:$M,orders!$C:$C,A681)</f>
        <v>31.624999999999996</v>
      </c>
      <c r="G681" s="14" t="str">
        <f>INDEX(orders!$P:$P,MATCH(A681,orders!$C:$C,0))</f>
        <v>Yes</v>
      </c>
      <c r="H681" s="17">
        <f t="shared" si="62"/>
        <v>3</v>
      </c>
      <c r="I681" s="14">
        <f t="shared" si="63"/>
        <v>1</v>
      </c>
      <c r="J681">
        <f t="shared" si="64"/>
        <v>3</v>
      </c>
      <c r="K681" s="14">
        <f t="shared" si="65"/>
        <v>7</v>
      </c>
      <c r="L681" t="str">
        <f t="shared" si="66"/>
        <v>Standard One-Time Buyers</v>
      </c>
    </row>
    <row r="682" spans="1:12" x14ac:dyDescent="0.3">
      <c r="A682" s="12" t="s">
        <v>4446</v>
      </c>
      <c r="B682" s="14" t="str">
        <f>INDEX(orders!$F:$F,MATCH(A682,orders!$C:$C,0))</f>
        <v>Barrett Gudde</v>
      </c>
      <c r="C682" s="15">
        <f>_xlfn.MAXIFS(orders!$B:$B,orders!$C:$C,A682)</f>
        <v>43736</v>
      </c>
      <c r="D682" s="14">
        <f t="shared" si="61"/>
        <v>1057</v>
      </c>
      <c r="E682" s="14">
        <f>COUNTIFS(orders!$C:$C,A682)</f>
        <v>1</v>
      </c>
      <c r="F682" s="16">
        <f>SUMIFS(orders!$M:$M,orders!$C:$C,A682)</f>
        <v>19.02</v>
      </c>
      <c r="G682" s="14" t="str">
        <f>INDEX(orders!$P:$P,MATCH(A682,orders!$C:$C,0))</f>
        <v>No</v>
      </c>
      <c r="H682" s="17">
        <f t="shared" si="62"/>
        <v>1</v>
      </c>
      <c r="I682" s="14">
        <f t="shared" si="63"/>
        <v>1</v>
      </c>
      <c r="J682">
        <f t="shared" si="64"/>
        <v>2</v>
      </c>
      <c r="K682" s="14">
        <f t="shared" si="65"/>
        <v>4</v>
      </c>
      <c r="L682" t="str">
        <f t="shared" si="66"/>
        <v>Lapsed One-Time Buyers</v>
      </c>
    </row>
    <row r="683" spans="1:12" x14ac:dyDescent="0.3">
      <c r="A683" s="12" t="s">
        <v>2758</v>
      </c>
      <c r="B683" s="14" t="str">
        <f>INDEX(orders!$F:$F,MATCH(A683,orders!$C:$C,0))</f>
        <v>Gale Croysdale</v>
      </c>
      <c r="C683" s="15">
        <f>_xlfn.MAXIFS(orders!$B:$B,orders!$C:$C,A683)</f>
        <v>43502</v>
      </c>
      <c r="D683" s="14">
        <f t="shared" si="61"/>
        <v>1291</v>
      </c>
      <c r="E683" s="14">
        <f>COUNTIFS(orders!$C:$C,A683)</f>
        <v>1</v>
      </c>
      <c r="F683" s="16">
        <f>SUMIFS(orders!$M:$M,orders!$C:$C,A683)</f>
        <v>26.849999999999998</v>
      </c>
      <c r="G683" s="14" t="str">
        <f>INDEX(orders!$P:$P,MATCH(A683,orders!$C:$C,0))</f>
        <v>Yes</v>
      </c>
      <c r="H683" s="17">
        <f t="shared" si="62"/>
        <v>1</v>
      </c>
      <c r="I683" s="14">
        <f t="shared" si="63"/>
        <v>1</v>
      </c>
      <c r="J683">
        <f t="shared" si="64"/>
        <v>3</v>
      </c>
      <c r="K683" s="14">
        <f t="shared" si="65"/>
        <v>5</v>
      </c>
      <c r="L683" t="str">
        <f t="shared" si="66"/>
        <v>Lapsed One-Time Buyers</v>
      </c>
    </row>
    <row r="684" spans="1:12" x14ac:dyDescent="0.3">
      <c r="A684" s="12" t="s">
        <v>4922</v>
      </c>
      <c r="B684" s="14" t="str">
        <f>INDEX(orders!$F:$F,MATCH(A684,orders!$C:$C,0))</f>
        <v>Graeme Whitehead</v>
      </c>
      <c r="C684" s="15">
        <f>_xlfn.MAXIFS(orders!$B:$B,orders!$C:$C,A684)</f>
        <v>44511</v>
      </c>
      <c r="D684" s="14">
        <f t="shared" si="61"/>
        <v>282</v>
      </c>
      <c r="E684" s="14">
        <f>COUNTIFS(orders!$C:$C,A684)</f>
        <v>1</v>
      </c>
      <c r="F684" s="16">
        <f>SUMIFS(orders!$M:$M,orders!$C:$C,A684)</f>
        <v>31.7</v>
      </c>
      <c r="G684" s="14" t="str">
        <f>INDEX(orders!$P:$P,MATCH(A684,orders!$C:$C,0))</f>
        <v>No</v>
      </c>
      <c r="H684" s="17">
        <f t="shared" si="62"/>
        <v>4</v>
      </c>
      <c r="I684" s="14">
        <f t="shared" si="63"/>
        <v>1</v>
      </c>
      <c r="J684">
        <f t="shared" si="64"/>
        <v>3</v>
      </c>
      <c r="K684" s="14">
        <f t="shared" si="65"/>
        <v>8</v>
      </c>
      <c r="L684" t="str">
        <f t="shared" si="66"/>
        <v>Standard One-Time Buyers</v>
      </c>
    </row>
    <row r="685" spans="1:12" x14ac:dyDescent="0.3">
      <c r="A685" s="12" t="s">
        <v>1356</v>
      </c>
      <c r="B685" s="14" t="str">
        <f>INDEX(orders!$F:$F,MATCH(A685,orders!$C:$C,0))</f>
        <v>Jocko Pray</v>
      </c>
      <c r="C685" s="15">
        <f>_xlfn.MAXIFS(orders!$B:$B,orders!$C:$C,A685)</f>
        <v>44473</v>
      </c>
      <c r="D685" s="14">
        <f t="shared" si="61"/>
        <v>320</v>
      </c>
      <c r="E685" s="14">
        <f>COUNTIFS(orders!$C:$C,A685)</f>
        <v>1</v>
      </c>
      <c r="F685" s="16">
        <f>SUMIFS(orders!$M:$M,orders!$C:$C,A685)</f>
        <v>114.42499999999998</v>
      </c>
      <c r="G685" s="14" t="str">
        <f>INDEX(orders!$P:$P,MATCH(A685,orders!$C:$C,0))</f>
        <v>No</v>
      </c>
      <c r="H685" s="17">
        <f t="shared" si="62"/>
        <v>4</v>
      </c>
      <c r="I685" s="14">
        <f t="shared" si="63"/>
        <v>1</v>
      </c>
      <c r="J685">
        <f t="shared" si="64"/>
        <v>5</v>
      </c>
      <c r="K685" s="14">
        <f t="shared" si="65"/>
        <v>10</v>
      </c>
      <c r="L685" t="str">
        <f t="shared" si="66"/>
        <v>Recent High-Value (One-Time)</v>
      </c>
    </row>
    <row r="686" spans="1:12" x14ac:dyDescent="0.3">
      <c r="A686" s="12" t="s">
        <v>1499</v>
      </c>
      <c r="B686" s="14" t="str">
        <f>INDEX(orders!$F:$F,MATCH(A686,orders!$C:$C,0))</f>
        <v>Tiffany Scardafield</v>
      </c>
      <c r="C686" s="15">
        <f>_xlfn.MAXIFS(orders!$B:$B,orders!$C:$C,A686)</f>
        <v>43830</v>
      </c>
      <c r="D686" s="14">
        <f t="shared" si="61"/>
        <v>963</v>
      </c>
      <c r="E686" s="14">
        <f>COUNTIFS(orders!$C:$C,A686)</f>
        <v>1</v>
      </c>
      <c r="F686" s="16">
        <f>SUMIFS(orders!$M:$M,orders!$C:$C,A686)</f>
        <v>2.9849999999999999</v>
      </c>
      <c r="G686" s="14" t="str">
        <f>INDEX(orders!$P:$P,MATCH(A686,orders!$C:$C,0))</f>
        <v>No</v>
      </c>
      <c r="H686" s="17">
        <f t="shared" si="62"/>
        <v>2</v>
      </c>
      <c r="I686" s="14">
        <f t="shared" si="63"/>
        <v>1</v>
      </c>
      <c r="J686">
        <f t="shared" si="64"/>
        <v>1</v>
      </c>
      <c r="K686" s="14">
        <f t="shared" si="65"/>
        <v>4</v>
      </c>
      <c r="L686" t="str">
        <f t="shared" si="66"/>
        <v>Lapsed One-Time Buyers</v>
      </c>
    </row>
    <row r="687" spans="1:12" x14ac:dyDescent="0.3">
      <c r="A687" s="12" t="s">
        <v>898</v>
      </c>
      <c r="B687" s="14" t="str">
        <f>INDEX(orders!$F:$F,MATCH(A687,orders!$C:$C,0))</f>
        <v>Aurlie McCarl</v>
      </c>
      <c r="C687" s="15">
        <f>_xlfn.MAXIFS(orders!$B:$B,orders!$C:$C,A687)</f>
        <v>44131</v>
      </c>
      <c r="D687" s="14">
        <f t="shared" si="61"/>
        <v>662</v>
      </c>
      <c r="E687" s="14">
        <f>COUNTIFS(orders!$C:$C,A687)</f>
        <v>1</v>
      </c>
      <c r="F687" s="16">
        <f>SUMIFS(orders!$M:$M,orders!$C:$C,A687)</f>
        <v>77.624999999999986</v>
      </c>
      <c r="G687" s="14" t="str">
        <f>INDEX(orders!$P:$P,MATCH(A687,orders!$C:$C,0))</f>
        <v>No</v>
      </c>
      <c r="H687" s="17">
        <f t="shared" si="62"/>
        <v>3</v>
      </c>
      <c r="I687" s="14">
        <f t="shared" si="63"/>
        <v>1</v>
      </c>
      <c r="J687">
        <f t="shared" si="64"/>
        <v>4</v>
      </c>
      <c r="K687" s="14">
        <f t="shared" si="65"/>
        <v>8</v>
      </c>
      <c r="L687" t="str">
        <f t="shared" si="66"/>
        <v>Standard One-Time Buyers</v>
      </c>
    </row>
    <row r="688" spans="1:12" x14ac:dyDescent="0.3">
      <c r="A688" s="12" t="s">
        <v>5559</v>
      </c>
      <c r="B688" s="14" t="str">
        <f>INDEX(orders!$F:$F,MATCH(A688,orders!$C:$C,0))</f>
        <v>Baxy Cargen</v>
      </c>
      <c r="C688" s="15">
        <f>_xlfn.MAXIFS(orders!$B:$B,orders!$C:$C,A688)</f>
        <v>44347</v>
      </c>
      <c r="D688" s="14">
        <f t="shared" si="61"/>
        <v>446</v>
      </c>
      <c r="E688" s="14">
        <f>COUNTIFS(orders!$C:$C,A688)</f>
        <v>1</v>
      </c>
      <c r="F688" s="16">
        <f>SUMIFS(orders!$M:$M,orders!$C:$C,A688)</f>
        <v>32.22</v>
      </c>
      <c r="G688" s="14" t="str">
        <f>INDEX(orders!$P:$P,MATCH(A688,orders!$C:$C,0))</f>
        <v>Yes</v>
      </c>
      <c r="H688" s="17">
        <f t="shared" si="62"/>
        <v>4</v>
      </c>
      <c r="I688" s="14">
        <f t="shared" si="63"/>
        <v>1</v>
      </c>
      <c r="J688">
        <f t="shared" si="64"/>
        <v>3</v>
      </c>
      <c r="K688" s="14">
        <f t="shared" si="65"/>
        <v>8</v>
      </c>
      <c r="L688" t="str">
        <f t="shared" si="66"/>
        <v>Standard One-Time Buyers</v>
      </c>
    </row>
    <row r="689" spans="1:12" x14ac:dyDescent="0.3">
      <c r="A689" s="12" t="s">
        <v>3612</v>
      </c>
      <c r="B689" s="14" t="str">
        <f>INDEX(orders!$F:$F,MATCH(A689,orders!$C:$C,0))</f>
        <v>Granville Alberts</v>
      </c>
      <c r="C689" s="15">
        <f>_xlfn.MAXIFS(orders!$B:$B,orders!$C:$C,A689)</f>
        <v>43761</v>
      </c>
      <c r="D689" s="14">
        <f t="shared" si="61"/>
        <v>1032</v>
      </c>
      <c r="E689" s="14">
        <f>COUNTIFS(orders!$C:$C,A689)</f>
        <v>1</v>
      </c>
      <c r="F689" s="16">
        <f>SUMIFS(orders!$M:$M,orders!$C:$C,A689)</f>
        <v>17.82</v>
      </c>
      <c r="G689" s="14" t="str">
        <f>INDEX(orders!$P:$P,MATCH(A689,orders!$C:$C,0))</f>
        <v>Yes</v>
      </c>
      <c r="H689" s="17">
        <f t="shared" si="62"/>
        <v>2</v>
      </c>
      <c r="I689" s="14">
        <f t="shared" si="63"/>
        <v>1</v>
      </c>
      <c r="J689">
        <f t="shared" si="64"/>
        <v>2</v>
      </c>
      <c r="K689" s="14">
        <f t="shared" si="65"/>
        <v>5</v>
      </c>
      <c r="L689" t="str">
        <f t="shared" si="66"/>
        <v>Lapsed One-Time Buyers</v>
      </c>
    </row>
    <row r="690" spans="1:12" x14ac:dyDescent="0.3">
      <c r="A690" s="12" t="s">
        <v>5850</v>
      </c>
      <c r="B690" s="14" t="str">
        <f>INDEX(orders!$F:$F,MATCH(A690,orders!$C:$C,0))</f>
        <v>Gnni Cheeke</v>
      </c>
      <c r="C690" s="15">
        <f>_xlfn.MAXIFS(orders!$B:$B,orders!$C:$C,A690)</f>
        <v>44445</v>
      </c>
      <c r="D690" s="14">
        <f t="shared" si="61"/>
        <v>348</v>
      </c>
      <c r="E690" s="14">
        <f>COUNTIFS(orders!$C:$C,A690)</f>
        <v>1</v>
      </c>
      <c r="F690" s="16">
        <f>SUMIFS(orders!$M:$M,orders!$C:$C,A690)</f>
        <v>83.835000000000008</v>
      </c>
      <c r="G690" s="14" t="str">
        <f>INDEX(orders!$P:$P,MATCH(A690,orders!$C:$C,0))</f>
        <v>Yes</v>
      </c>
      <c r="H690" s="17">
        <f t="shared" si="62"/>
        <v>4</v>
      </c>
      <c r="I690" s="14">
        <f t="shared" si="63"/>
        <v>1</v>
      </c>
      <c r="J690">
        <f t="shared" si="64"/>
        <v>5</v>
      </c>
      <c r="K690" s="14">
        <f t="shared" si="65"/>
        <v>10</v>
      </c>
      <c r="L690" t="str">
        <f t="shared" si="66"/>
        <v>Recent High-Value (One-Time)</v>
      </c>
    </row>
    <row r="691" spans="1:12" x14ac:dyDescent="0.3">
      <c r="A691" s="12" t="s">
        <v>548</v>
      </c>
      <c r="B691" s="14" t="str">
        <f>INDEX(orders!$F:$F,MATCH(A691,orders!$C:$C,0))</f>
        <v>Ferrell Ferber</v>
      </c>
      <c r="C691" s="15">
        <f>_xlfn.MAXIFS(orders!$B:$B,orders!$C:$C,A691)</f>
        <v>44263</v>
      </c>
      <c r="D691" s="14">
        <f t="shared" si="61"/>
        <v>530</v>
      </c>
      <c r="E691" s="14">
        <f>COUNTIFS(orders!$C:$C,A691)</f>
        <v>1</v>
      </c>
      <c r="F691" s="16">
        <f>SUMIFS(orders!$M:$M,orders!$C:$C,A691)</f>
        <v>39.799999999999997</v>
      </c>
      <c r="G691" s="14" t="str">
        <f>INDEX(orders!$P:$P,MATCH(A691,orders!$C:$C,0))</f>
        <v>No</v>
      </c>
      <c r="H691" s="17">
        <f t="shared" si="62"/>
        <v>3</v>
      </c>
      <c r="I691" s="14">
        <f t="shared" si="63"/>
        <v>1</v>
      </c>
      <c r="J691">
        <f t="shared" si="64"/>
        <v>3</v>
      </c>
      <c r="K691" s="14">
        <f t="shared" si="65"/>
        <v>7</v>
      </c>
      <c r="L691" t="str">
        <f t="shared" si="66"/>
        <v>Standard One-Time Buyers</v>
      </c>
    </row>
    <row r="692" spans="1:12" x14ac:dyDescent="0.3">
      <c r="A692" s="12" t="s">
        <v>2952</v>
      </c>
      <c r="B692" s="14" t="str">
        <f>INDEX(orders!$F:$F,MATCH(A692,orders!$C:$C,0))</f>
        <v>Willabella Abramski</v>
      </c>
      <c r="C692" s="15">
        <f>_xlfn.MAXIFS(orders!$B:$B,orders!$C:$C,A692)</f>
        <v>44213</v>
      </c>
      <c r="D692" s="14">
        <f t="shared" si="61"/>
        <v>580</v>
      </c>
      <c r="E692" s="14">
        <f>COUNTIFS(orders!$C:$C,A692)</f>
        <v>1</v>
      </c>
      <c r="F692" s="16">
        <f>SUMIFS(orders!$M:$M,orders!$C:$C,A692)</f>
        <v>29.784999999999997</v>
      </c>
      <c r="G692" s="14" t="str">
        <f>INDEX(orders!$P:$P,MATCH(A692,orders!$C:$C,0))</f>
        <v>No</v>
      </c>
      <c r="H692" s="17">
        <f t="shared" si="62"/>
        <v>3</v>
      </c>
      <c r="I692" s="14">
        <f t="shared" si="63"/>
        <v>1</v>
      </c>
      <c r="J692">
        <f t="shared" si="64"/>
        <v>3</v>
      </c>
      <c r="K692" s="14">
        <f t="shared" si="65"/>
        <v>7</v>
      </c>
      <c r="L692" t="str">
        <f t="shared" si="66"/>
        <v>Standard One-Time Buyers</v>
      </c>
    </row>
    <row r="693" spans="1:12" x14ac:dyDescent="0.3">
      <c r="A693" s="12" t="s">
        <v>1574</v>
      </c>
      <c r="B693" s="14" t="str">
        <f>INDEX(orders!$F:$F,MATCH(A693,orders!$C:$C,0))</f>
        <v>Philipa Petrushanko</v>
      </c>
      <c r="C693" s="15">
        <f>_xlfn.MAXIFS(orders!$B:$B,orders!$C:$C,A693)</f>
        <v>43919</v>
      </c>
      <c r="D693" s="14">
        <f t="shared" si="61"/>
        <v>874</v>
      </c>
      <c r="E693" s="14">
        <f>COUNTIFS(orders!$C:$C,A693)</f>
        <v>1</v>
      </c>
      <c r="F693" s="16">
        <f>SUMIFS(orders!$M:$M,orders!$C:$C,A693)</f>
        <v>72.900000000000006</v>
      </c>
      <c r="G693" s="14" t="str">
        <f>INDEX(orders!$P:$P,MATCH(A693,orders!$C:$C,0))</f>
        <v>Yes</v>
      </c>
      <c r="H693" s="17">
        <f t="shared" si="62"/>
        <v>2</v>
      </c>
      <c r="I693" s="14">
        <f t="shared" si="63"/>
        <v>1</v>
      </c>
      <c r="J693">
        <f t="shared" si="64"/>
        <v>4</v>
      </c>
      <c r="K693" s="14">
        <f t="shared" si="65"/>
        <v>7</v>
      </c>
      <c r="L693" t="str">
        <f t="shared" si="66"/>
        <v>Lapsed One-Time Buyers</v>
      </c>
    </row>
    <row r="694" spans="1:12" x14ac:dyDescent="0.3">
      <c r="A694" s="12" t="s">
        <v>4782</v>
      </c>
      <c r="B694" s="14" t="str">
        <f>INDEX(orders!$F:$F,MATCH(A694,orders!$C:$C,0))</f>
        <v>Dallas Yarham</v>
      </c>
      <c r="C694" s="15">
        <f>_xlfn.MAXIFS(orders!$B:$B,orders!$C:$C,A694)</f>
        <v>44126</v>
      </c>
      <c r="D694" s="14">
        <f t="shared" si="61"/>
        <v>667</v>
      </c>
      <c r="E694" s="14">
        <f>COUNTIFS(orders!$C:$C,A694)</f>
        <v>1</v>
      </c>
      <c r="F694" s="16">
        <f>SUMIFS(orders!$M:$M,orders!$C:$C,A694)</f>
        <v>29.784999999999997</v>
      </c>
      <c r="G694" s="14" t="str">
        <f>INDEX(orders!$P:$P,MATCH(A694,orders!$C:$C,0))</f>
        <v>Yes</v>
      </c>
      <c r="H694" s="17">
        <f t="shared" si="62"/>
        <v>3</v>
      </c>
      <c r="I694" s="14">
        <f t="shared" si="63"/>
        <v>1</v>
      </c>
      <c r="J694">
        <f t="shared" si="64"/>
        <v>3</v>
      </c>
      <c r="K694" s="14">
        <f t="shared" si="65"/>
        <v>7</v>
      </c>
      <c r="L694" t="str">
        <f t="shared" si="66"/>
        <v>Standard One-Time Buyers</v>
      </c>
    </row>
    <row r="695" spans="1:12" x14ac:dyDescent="0.3">
      <c r="A695" s="12" t="s">
        <v>779</v>
      </c>
      <c r="B695" s="14" t="str">
        <f>INDEX(orders!$F:$F,MATCH(A695,orders!$C:$C,0))</f>
        <v>Karry Flanders</v>
      </c>
      <c r="C695" s="15">
        <f>_xlfn.MAXIFS(orders!$B:$B,orders!$C:$C,A695)</f>
        <v>43600</v>
      </c>
      <c r="D695" s="14">
        <f t="shared" si="61"/>
        <v>1193</v>
      </c>
      <c r="E695" s="14">
        <f>COUNTIFS(orders!$C:$C,A695)</f>
        <v>1</v>
      </c>
      <c r="F695" s="16">
        <f>SUMIFS(orders!$M:$M,orders!$C:$C,A695)</f>
        <v>145.82</v>
      </c>
      <c r="G695" s="14" t="str">
        <f>INDEX(orders!$P:$P,MATCH(A695,orders!$C:$C,0))</f>
        <v>Yes</v>
      </c>
      <c r="H695" s="17">
        <f t="shared" si="62"/>
        <v>1</v>
      </c>
      <c r="I695" s="14">
        <f t="shared" si="63"/>
        <v>1</v>
      </c>
      <c r="J695">
        <f t="shared" si="64"/>
        <v>5</v>
      </c>
      <c r="K695" s="14">
        <f t="shared" si="65"/>
        <v>7</v>
      </c>
      <c r="L695" t="str">
        <f t="shared" si="66"/>
        <v>Lapsed One-Time Buyers</v>
      </c>
    </row>
    <row r="696" spans="1:12" x14ac:dyDescent="0.3">
      <c r="A696" s="12" t="s">
        <v>3431</v>
      </c>
      <c r="B696" s="14" t="str">
        <f>INDEX(orders!$F:$F,MATCH(A696,orders!$C:$C,0))</f>
        <v>Mag Armistead</v>
      </c>
      <c r="C696" s="15">
        <f>_xlfn.MAXIFS(orders!$B:$B,orders!$C:$C,A696)</f>
        <v>44446</v>
      </c>
      <c r="D696" s="14">
        <f t="shared" si="61"/>
        <v>347</v>
      </c>
      <c r="E696" s="14">
        <f>COUNTIFS(orders!$C:$C,A696)</f>
        <v>2</v>
      </c>
      <c r="F696" s="16">
        <f>SUMIFS(orders!$M:$M,orders!$C:$C,A696)</f>
        <v>43.684999999999995</v>
      </c>
      <c r="G696" s="14" t="str">
        <f>INDEX(orders!$P:$P,MATCH(A696,orders!$C:$C,0))</f>
        <v>No</v>
      </c>
      <c r="H696" s="17">
        <f t="shared" si="62"/>
        <v>4</v>
      </c>
      <c r="I696" s="14">
        <f t="shared" si="63"/>
        <v>3</v>
      </c>
      <c r="J696">
        <f t="shared" si="64"/>
        <v>4</v>
      </c>
      <c r="K696" s="14">
        <f t="shared" si="65"/>
        <v>11</v>
      </c>
      <c r="L696" t="str">
        <f t="shared" si="66"/>
        <v>Loyal Repeat Customers</v>
      </c>
    </row>
    <row r="697" spans="1:12" x14ac:dyDescent="0.3">
      <c r="A697" s="12" t="s">
        <v>949</v>
      </c>
      <c r="B697" s="14" t="str">
        <f>INDEX(orders!$F:$F,MATCH(A697,orders!$C:$C,0))</f>
        <v>Sheppard Yann</v>
      </c>
      <c r="C697" s="15">
        <f>_xlfn.MAXIFS(orders!$B:$B,orders!$C:$C,A697)</f>
        <v>43763</v>
      </c>
      <c r="D697" s="14">
        <f t="shared" si="61"/>
        <v>1030</v>
      </c>
      <c r="E697" s="14">
        <f>COUNTIFS(orders!$C:$C,A697)</f>
        <v>1</v>
      </c>
      <c r="F697" s="16">
        <f>SUMIFS(orders!$M:$M,orders!$C:$C,A697)</f>
        <v>109.36499999999999</v>
      </c>
      <c r="G697" s="14" t="str">
        <f>INDEX(orders!$P:$P,MATCH(A697,orders!$C:$C,0))</f>
        <v>Yes</v>
      </c>
      <c r="H697" s="17">
        <f t="shared" si="62"/>
        <v>2</v>
      </c>
      <c r="I697" s="14">
        <f t="shared" si="63"/>
        <v>1</v>
      </c>
      <c r="J697">
        <f t="shared" si="64"/>
        <v>5</v>
      </c>
      <c r="K697" s="14">
        <f t="shared" si="65"/>
        <v>8</v>
      </c>
      <c r="L697" t="str">
        <f t="shared" si="66"/>
        <v>Lapsed One-Time Buyers</v>
      </c>
    </row>
    <row r="698" spans="1:12" x14ac:dyDescent="0.3">
      <c r="A698" s="12" t="s">
        <v>2020</v>
      </c>
      <c r="B698" s="14" t="str">
        <f>INDEX(orders!$F:$F,MATCH(A698,orders!$C:$C,0))</f>
        <v>Jasper Sisneros</v>
      </c>
      <c r="C698" s="15">
        <f>_xlfn.MAXIFS(orders!$B:$B,orders!$C:$C,A698)</f>
        <v>43971</v>
      </c>
      <c r="D698" s="14">
        <f t="shared" si="61"/>
        <v>822</v>
      </c>
      <c r="E698" s="14">
        <f>COUNTIFS(orders!$C:$C,A698)</f>
        <v>1</v>
      </c>
      <c r="F698" s="16">
        <f>SUMIFS(orders!$M:$M,orders!$C:$C,A698)</f>
        <v>11.94</v>
      </c>
      <c r="G698" s="14" t="str">
        <f>INDEX(orders!$P:$P,MATCH(A698,orders!$C:$C,0))</f>
        <v>Yes</v>
      </c>
      <c r="H698" s="17">
        <f t="shared" si="62"/>
        <v>2</v>
      </c>
      <c r="I698" s="14">
        <f t="shared" si="63"/>
        <v>1</v>
      </c>
      <c r="J698">
        <f t="shared" si="64"/>
        <v>1</v>
      </c>
      <c r="K698" s="14">
        <f t="shared" si="65"/>
        <v>4</v>
      </c>
      <c r="L698" t="str">
        <f t="shared" si="66"/>
        <v>Lapsed One-Time Buyers</v>
      </c>
    </row>
    <row r="699" spans="1:12" x14ac:dyDescent="0.3">
      <c r="A699" s="12" t="s">
        <v>599</v>
      </c>
      <c r="B699" s="14" t="str">
        <f>INDEX(orders!$F:$F,MATCH(A699,orders!$C:$C,0))</f>
        <v>Aurea Corradino</v>
      </c>
      <c r="C699" s="15">
        <f>_xlfn.MAXIFS(orders!$B:$B,orders!$C:$C,A699)</f>
        <v>44169</v>
      </c>
      <c r="D699" s="14">
        <f t="shared" si="61"/>
        <v>624</v>
      </c>
      <c r="E699" s="14">
        <f>COUNTIFS(orders!$C:$C,A699)</f>
        <v>2</v>
      </c>
      <c r="F699" s="16">
        <f>SUMIFS(orders!$M:$M,orders!$C:$C,A699)</f>
        <v>31.454999999999998</v>
      </c>
      <c r="G699" s="14" t="str">
        <f>INDEX(orders!$P:$P,MATCH(A699,orders!$C:$C,0))</f>
        <v>Yes</v>
      </c>
      <c r="H699" s="17">
        <f t="shared" si="62"/>
        <v>3</v>
      </c>
      <c r="I699" s="14">
        <f t="shared" si="63"/>
        <v>3</v>
      </c>
      <c r="J699">
        <f t="shared" si="64"/>
        <v>3</v>
      </c>
      <c r="K699" s="14">
        <f t="shared" si="65"/>
        <v>9</v>
      </c>
      <c r="L699" t="str">
        <f t="shared" si="66"/>
        <v>At-Risk Repeat Customers</v>
      </c>
    </row>
    <row r="700" spans="1:12" x14ac:dyDescent="0.3">
      <c r="A700" s="12" t="s">
        <v>5565</v>
      </c>
      <c r="B700" s="14" t="str">
        <f>INDEX(orders!$F:$F,MATCH(A700,orders!$C:$C,0))</f>
        <v>Ryann Stickler</v>
      </c>
      <c r="C700" s="15">
        <f>_xlfn.MAXIFS(orders!$B:$B,orders!$C:$C,A700)</f>
        <v>43932</v>
      </c>
      <c r="D700" s="14">
        <f t="shared" si="61"/>
        <v>861</v>
      </c>
      <c r="E700" s="14">
        <f>COUNTIFS(orders!$C:$C,A700)</f>
        <v>1</v>
      </c>
      <c r="F700" s="16">
        <f>SUMIFS(orders!$M:$M,orders!$C:$C,A700)</f>
        <v>24.3</v>
      </c>
      <c r="G700" s="14" t="str">
        <f>INDEX(orders!$P:$P,MATCH(A700,orders!$C:$C,0))</f>
        <v>No</v>
      </c>
      <c r="H700" s="17">
        <f t="shared" si="62"/>
        <v>2</v>
      </c>
      <c r="I700" s="14">
        <f t="shared" si="63"/>
        <v>1</v>
      </c>
      <c r="J700">
        <f t="shared" si="64"/>
        <v>2</v>
      </c>
      <c r="K700" s="14">
        <f t="shared" si="65"/>
        <v>5</v>
      </c>
      <c r="L700" t="str">
        <f t="shared" si="66"/>
        <v>Lapsed One-Time Buyers</v>
      </c>
    </row>
    <row r="701" spans="1:12" x14ac:dyDescent="0.3">
      <c r="A701" s="12" t="s">
        <v>2376</v>
      </c>
      <c r="B701" s="14" t="str">
        <f>INDEX(orders!$F:$F,MATCH(A701,orders!$C:$C,0))</f>
        <v>Elonore Goodings</v>
      </c>
      <c r="C701" s="15">
        <f>_xlfn.MAXIFS(orders!$B:$B,orders!$C:$C,A701)</f>
        <v>43742</v>
      </c>
      <c r="D701" s="14">
        <f t="shared" si="61"/>
        <v>1051</v>
      </c>
      <c r="E701" s="14">
        <f>COUNTIFS(orders!$C:$C,A701)</f>
        <v>1</v>
      </c>
      <c r="F701" s="16">
        <f>SUMIFS(orders!$M:$M,orders!$C:$C,A701)</f>
        <v>59.75</v>
      </c>
      <c r="G701" s="14" t="str">
        <f>INDEX(orders!$P:$P,MATCH(A701,orders!$C:$C,0))</f>
        <v>No</v>
      </c>
      <c r="H701" s="17">
        <f t="shared" si="62"/>
        <v>1</v>
      </c>
      <c r="I701" s="14">
        <f t="shared" si="63"/>
        <v>1</v>
      </c>
      <c r="J701">
        <f t="shared" si="64"/>
        <v>4</v>
      </c>
      <c r="K701" s="14">
        <f t="shared" si="65"/>
        <v>6</v>
      </c>
      <c r="L701" t="str">
        <f t="shared" si="66"/>
        <v>Lapsed One-Time Buyers</v>
      </c>
    </row>
    <row r="702" spans="1:12" x14ac:dyDescent="0.3">
      <c r="A702" s="12" t="s">
        <v>4700</v>
      </c>
      <c r="B702" s="14" t="str">
        <f>INDEX(orders!$F:$F,MATCH(A702,orders!$C:$C,0))</f>
        <v>Jordana Halden</v>
      </c>
      <c r="C702" s="15">
        <f>_xlfn.MAXIFS(orders!$B:$B,orders!$C:$C,A702)</f>
        <v>44557</v>
      </c>
      <c r="D702" s="14">
        <f t="shared" si="61"/>
        <v>236</v>
      </c>
      <c r="E702" s="14">
        <f>COUNTIFS(orders!$C:$C,A702)</f>
        <v>1</v>
      </c>
      <c r="F702" s="16">
        <f>SUMIFS(orders!$M:$M,orders!$C:$C,A702)</f>
        <v>14.58</v>
      </c>
      <c r="G702" s="14" t="str">
        <f>INDEX(orders!$P:$P,MATCH(A702,orders!$C:$C,0))</f>
        <v>No</v>
      </c>
      <c r="H702" s="17">
        <f t="shared" si="62"/>
        <v>5</v>
      </c>
      <c r="I702" s="14">
        <f t="shared" si="63"/>
        <v>1</v>
      </c>
      <c r="J702">
        <f t="shared" si="64"/>
        <v>2</v>
      </c>
      <c r="K702" s="14">
        <f t="shared" si="65"/>
        <v>8</v>
      </c>
      <c r="L702" t="str">
        <f t="shared" si="66"/>
        <v>Standard One-Time Buyers</v>
      </c>
    </row>
    <row r="703" spans="1:12" x14ac:dyDescent="0.3">
      <c r="A703" s="12" t="s">
        <v>2447</v>
      </c>
      <c r="B703" s="14" t="str">
        <f>INDEX(orders!$F:$F,MATCH(A703,orders!$C:$C,0))</f>
        <v>Lewes Danes</v>
      </c>
      <c r="C703" s="15">
        <f>_xlfn.MAXIFS(orders!$B:$B,orders!$C:$C,A703)</f>
        <v>44576</v>
      </c>
      <c r="D703" s="14">
        <f t="shared" si="61"/>
        <v>217</v>
      </c>
      <c r="E703" s="14">
        <f>COUNTIFS(orders!$C:$C,A703)</f>
        <v>1</v>
      </c>
      <c r="F703" s="16">
        <f>SUMIFS(orders!$M:$M,orders!$C:$C,A703)</f>
        <v>43.650000000000006</v>
      </c>
      <c r="G703" s="14" t="str">
        <f>INDEX(orders!$P:$P,MATCH(A703,orders!$C:$C,0))</f>
        <v>No</v>
      </c>
      <c r="H703" s="17">
        <f t="shared" si="62"/>
        <v>5</v>
      </c>
      <c r="I703" s="14">
        <f t="shared" si="63"/>
        <v>1</v>
      </c>
      <c r="J703">
        <f t="shared" si="64"/>
        <v>4</v>
      </c>
      <c r="K703" s="14">
        <f t="shared" si="65"/>
        <v>10</v>
      </c>
      <c r="L703" t="str">
        <f t="shared" si="66"/>
        <v>Recent High-Value (One-Time)</v>
      </c>
    </row>
    <row r="704" spans="1:12" x14ac:dyDescent="0.3">
      <c r="A704" s="12" t="s">
        <v>6134</v>
      </c>
      <c r="B704" s="14" t="str">
        <f>INDEX(orders!$F:$F,MATCH(A704,orders!$C:$C,0))</f>
        <v>Vidovic Antonelli</v>
      </c>
      <c r="C704" s="15">
        <f>_xlfn.MAXIFS(orders!$B:$B,orders!$C:$C,A704)</f>
        <v>44119</v>
      </c>
      <c r="D704" s="14">
        <f t="shared" si="61"/>
        <v>674</v>
      </c>
      <c r="E704" s="14">
        <f>COUNTIFS(orders!$C:$C,A704)</f>
        <v>1</v>
      </c>
      <c r="F704" s="16">
        <f>SUMIFS(orders!$M:$M,orders!$C:$C,A704)</f>
        <v>12.375</v>
      </c>
      <c r="G704" s="14" t="str">
        <f>INDEX(orders!$P:$P,MATCH(A704,orders!$C:$C,0))</f>
        <v>Yes</v>
      </c>
      <c r="H704" s="17">
        <f t="shared" si="62"/>
        <v>3</v>
      </c>
      <c r="I704" s="14">
        <f t="shared" si="63"/>
        <v>1</v>
      </c>
      <c r="J704">
        <f t="shared" si="64"/>
        <v>1</v>
      </c>
      <c r="K704" s="14">
        <f t="shared" si="65"/>
        <v>5</v>
      </c>
      <c r="L704" t="str">
        <f t="shared" si="66"/>
        <v>Standard One-Time Buyers</v>
      </c>
    </row>
    <row r="705" spans="1:12" x14ac:dyDescent="0.3">
      <c r="A705" s="12" t="s">
        <v>4809</v>
      </c>
      <c r="B705" s="14" t="str">
        <f>INDEX(orders!$F:$F,MATCH(A705,orders!$C:$C,0))</f>
        <v>Bobby Folomkin</v>
      </c>
      <c r="C705" s="15">
        <f>_xlfn.MAXIFS(orders!$B:$B,orders!$C:$C,A705)</f>
        <v>43797</v>
      </c>
      <c r="D705" s="14">
        <f t="shared" si="61"/>
        <v>996</v>
      </c>
      <c r="E705" s="14">
        <f>COUNTIFS(orders!$C:$C,A705)</f>
        <v>1</v>
      </c>
      <c r="F705" s="16">
        <f>SUMIFS(orders!$M:$M,orders!$C:$C,A705)</f>
        <v>178.70999999999998</v>
      </c>
      <c r="G705" s="14" t="str">
        <f>INDEX(orders!$P:$P,MATCH(A705,orders!$C:$C,0))</f>
        <v>Yes</v>
      </c>
      <c r="H705" s="17">
        <f t="shared" si="62"/>
        <v>2</v>
      </c>
      <c r="I705" s="14">
        <f t="shared" si="63"/>
        <v>1</v>
      </c>
      <c r="J705">
        <f t="shared" si="64"/>
        <v>5</v>
      </c>
      <c r="K705" s="14">
        <f t="shared" si="65"/>
        <v>8</v>
      </c>
      <c r="L705" t="str">
        <f t="shared" si="66"/>
        <v>Lapsed One-Time Buyers</v>
      </c>
    </row>
    <row r="706" spans="1:12" x14ac:dyDescent="0.3">
      <c r="A706" s="12" t="s">
        <v>5484</v>
      </c>
      <c r="B706" s="14" t="str">
        <f>INDEX(orders!$F:$F,MATCH(A706,orders!$C:$C,0))</f>
        <v>Lindon Agnolo</v>
      </c>
      <c r="C706" s="15">
        <f>_xlfn.MAXIFS(orders!$B:$B,orders!$C:$C,A706)</f>
        <v>43956</v>
      </c>
      <c r="D706" s="14">
        <f t="shared" si="61"/>
        <v>837</v>
      </c>
      <c r="E706" s="14">
        <f>COUNTIFS(orders!$C:$C,A706)</f>
        <v>1</v>
      </c>
      <c r="F706" s="16">
        <f>SUMIFS(orders!$M:$M,orders!$C:$C,A706)</f>
        <v>77.624999999999986</v>
      </c>
      <c r="G706" s="14" t="str">
        <f>INDEX(orders!$P:$P,MATCH(A706,orders!$C:$C,0))</f>
        <v>Yes</v>
      </c>
      <c r="H706" s="17">
        <f t="shared" si="62"/>
        <v>2</v>
      </c>
      <c r="I706" s="14">
        <f t="shared" si="63"/>
        <v>1</v>
      </c>
      <c r="J706">
        <f t="shared" si="64"/>
        <v>4</v>
      </c>
      <c r="K706" s="14">
        <f t="shared" si="65"/>
        <v>7</v>
      </c>
      <c r="L706" t="str">
        <f t="shared" si="66"/>
        <v>Lapsed One-Time Buyers</v>
      </c>
    </row>
    <row r="707" spans="1:12" x14ac:dyDescent="0.3">
      <c r="A707" s="12" t="s">
        <v>5369</v>
      </c>
      <c r="B707" s="14" t="str">
        <f>INDEX(orders!$F:$F,MATCH(A707,orders!$C:$C,0))</f>
        <v>Meade Birkin</v>
      </c>
      <c r="C707" s="15">
        <f>_xlfn.MAXIFS(orders!$B:$B,orders!$C:$C,A707)</f>
        <v>44712</v>
      </c>
      <c r="D707" s="14">
        <f t="shared" si="61"/>
        <v>81</v>
      </c>
      <c r="E707" s="14">
        <f>COUNTIFS(orders!$C:$C,A707)</f>
        <v>1</v>
      </c>
      <c r="F707" s="16">
        <f>SUMIFS(orders!$M:$M,orders!$C:$C,A707)</f>
        <v>29.1</v>
      </c>
      <c r="G707" s="14" t="str">
        <f>INDEX(orders!$P:$P,MATCH(A707,orders!$C:$C,0))</f>
        <v>Yes</v>
      </c>
      <c r="H707" s="17">
        <f t="shared" si="62"/>
        <v>5</v>
      </c>
      <c r="I707" s="14">
        <f t="shared" si="63"/>
        <v>1</v>
      </c>
      <c r="J707">
        <f t="shared" si="64"/>
        <v>3</v>
      </c>
      <c r="K707" s="14">
        <f t="shared" si="65"/>
        <v>9</v>
      </c>
      <c r="L707" t="str">
        <f t="shared" si="66"/>
        <v>Standard One-Time Buyers</v>
      </c>
    </row>
    <row r="708" spans="1:12" x14ac:dyDescent="0.3">
      <c r="A708" s="12" t="s">
        <v>2981</v>
      </c>
      <c r="B708" s="14" t="str">
        <f>INDEX(orders!$F:$F,MATCH(A708,orders!$C:$C,0))</f>
        <v>Koralle Heads</v>
      </c>
      <c r="C708" s="15">
        <f>_xlfn.MAXIFS(orders!$B:$B,orders!$C:$C,A708)</f>
        <v>44384</v>
      </c>
      <c r="D708" s="14">
        <f t="shared" si="61"/>
        <v>409</v>
      </c>
      <c r="E708" s="14">
        <f>COUNTIFS(orders!$C:$C,A708)</f>
        <v>1</v>
      </c>
      <c r="F708" s="16">
        <f>SUMIFS(orders!$M:$M,orders!$C:$C,A708)</f>
        <v>35.849999999999994</v>
      </c>
      <c r="G708" s="14" t="str">
        <f>INDEX(orders!$P:$P,MATCH(A708,orders!$C:$C,0))</f>
        <v>No</v>
      </c>
      <c r="H708" s="17">
        <f t="shared" si="62"/>
        <v>4</v>
      </c>
      <c r="I708" s="14">
        <f t="shared" si="63"/>
        <v>1</v>
      </c>
      <c r="J708">
        <f t="shared" si="64"/>
        <v>3</v>
      </c>
      <c r="K708" s="14">
        <f t="shared" si="65"/>
        <v>8</v>
      </c>
      <c r="L708" t="str">
        <f t="shared" si="66"/>
        <v>Standard One-Time Buyers</v>
      </c>
    </row>
    <row r="709" spans="1:12" x14ac:dyDescent="0.3">
      <c r="A709" s="12" t="s">
        <v>867</v>
      </c>
      <c r="B709" s="14" t="str">
        <f>INDEX(orders!$F:$F,MATCH(A709,orders!$C:$C,0))</f>
        <v>Nat Saleway</v>
      </c>
      <c r="C709" s="15">
        <f>_xlfn.MAXIFS(orders!$B:$B,orders!$C:$C,A709)</f>
        <v>44519</v>
      </c>
      <c r="D709" s="14">
        <f t="shared" si="61"/>
        <v>274</v>
      </c>
      <c r="E709" s="14">
        <f>COUNTIFS(orders!$C:$C,A709)</f>
        <v>1</v>
      </c>
      <c r="F709" s="16">
        <f>SUMIFS(orders!$M:$M,orders!$C:$C,A709)</f>
        <v>9.51</v>
      </c>
      <c r="G709" s="14" t="str">
        <f>INDEX(orders!$P:$P,MATCH(A709,orders!$C:$C,0))</f>
        <v>No</v>
      </c>
      <c r="H709" s="17">
        <f t="shared" si="62"/>
        <v>4</v>
      </c>
      <c r="I709" s="14">
        <f t="shared" si="63"/>
        <v>1</v>
      </c>
      <c r="J709">
        <f t="shared" si="64"/>
        <v>1</v>
      </c>
      <c r="K709" s="14">
        <f t="shared" si="65"/>
        <v>6</v>
      </c>
      <c r="L709" t="str">
        <f t="shared" si="66"/>
        <v>Standard One-Time Buyers</v>
      </c>
    </row>
    <row r="710" spans="1:12" x14ac:dyDescent="0.3">
      <c r="A710" s="12" t="s">
        <v>3660</v>
      </c>
      <c r="B710" s="14" t="str">
        <f>INDEX(orders!$F:$F,MATCH(A710,orders!$C:$C,0))</f>
        <v>Nathaniel Bloxland</v>
      </c>
      <c r="C710" s="15">
        <f>_xlfn.MAXIFS(orders!$B:$B,orders!$C:$C,A710)</f>
        <v>43688</v>
      </c>
      <c r="D710" s="14">
        <f t="shared" ref="D710:D773" si="67">$B$1-C710</f>
        <v>1105</v>
      </c>
      <c r="E710" s="14">
        <f>COUNTIFS(orders!$C:$C,A710)</f>
        <v>1</v>
      </c>
      <c r="F710" s="16">
        <f>SUMIFS(orders!$M:$M,orders!$C:$C,A710)</f>
        <v>17.91</v>
      </c>
      <c r="G710" s="14" t="str">
        <f>INDEX(orders!$P:$P,MATCH(A710,orders!$C:$C,0))</f>
        <v>Yes</v>
      </c>
      <c r="H710" s="17">
        <f t="shared" ref="H710:H773" si="68">IF(D710&lt;=$E$1,5,IF(D710&lt;=$F$1,4,IF(D710&lt;=$G$1,3,IF(D710&lt;=$H$1,2,1))))</f>
        <v>1</v>
      </c>
      <c r="I710" s="14">
        <f t="shared" ref="I710:I773" si="69">IF(E710&lt;=1,1,IF(E710&lt;=2,3,5))</f>
        <v>1</v>
      </c>
      <c r="J710">
        <f t="shared" ref="J710:J773" si="70">IF(F710&lt;=PERCENTILE($F$5:$F$917,0.2),1,IF(F710&lt;=PERCENTILE($F$5:$F$917,0.4),2,IF(F710&lt;=PERCENTILE($F$5:$F$917,0.6),3,IF(F710&lt;=PERCENTILE($F$5:$F$917,0.8),4,5))))</f>
        <v>2</v>
      </c>
      <c r="K710" s="14">
        <f t="shared" ref="K710:K773" si="71">H710+I710+J710</f>
        <v>4</v>
      </c>
      <c r="L710" t="str">
        <f t="shared" ref="L710:L773" si="72">IF(AND(E710&gt;=2,H710&gt;=4),"Loyal Repeat Customers",IF(E710&gt;=2,"At-Risk Repeat Customers",IF(AND(H710&gt;=4,J710&gt;=4),"Recent High-Value (One-Time)",IF(H710&lt;=2,"Lapsed One-Time Buyers","Standard One-Time Buyers"))))</f>
        <v>Lapsed One-Time Buyers</v>
      </c>
    </row>
    <row r="711" spans="1:12" x14ac:dyDescent="0.3">
      <c r="A711" s="12" t="s">
        <v>3101</v>
      </c>
      <c r="B711" s="14" t="str">
        <f>INDEX(orders!$F:$F,MATCH(A711,orders!$C:$C,0))</f>
        <v>Borg Daile</v>
      </c>
      <c r="C711" s="15">
        <f>_xlfn.MAXIFS(orders!$B:$B,orders!$C:$C,A711)</f>
        <v>44124</v>
      </c>
      <c r="D711" s="14">
        <f t="shared" si="67"/>
        <v>669</v>
      </c>
      <c r="E711" s="14">
        <f>COUNTIFS(orders!$C:$C,A711)</f>
        <v>1</v>
      </c>
      <c r="F711" s="16">
        <f>SUMIFS(orders!$M:$M,orders!$C:$C,A711)</f>
        <v>49.75</v>
      </c>
      <c r="G711" s="14" t="str">
        <f>INDEX(orders!$P:$P,MATCH(A711,orders!$C:$C,0))</f>
        <v>Yes</v>
      </c>
      <c r="H711" s="17">
        <f t="shared" si="68"/>
        <v>3</v>
      </c>
      <c r="I711" s="14">
        <f t="shared" si="69"/>
        <v>1</v>
      </c>
      <c r="J711">
        <f t="shared" si="70"/>
        <v>4</v>
      </c>
      <c r="K711" s="14">
        <f t="shared" si="71"/>
        <v>8</v>
      </c>
      <c r="L711" t="str">
        <f t="shared" si="72"/>
        <v>Standard One-Time Buyers</v>
      </c>
    </row>
    <row r="712" spans="1:12" x14ac:dyDescent="0.3">
      <c r="A712" s="12" t="s">
        <v>694</v>
      </c>
      <c r="B712" s="14" t="str">
        <f>INDEX(orders!$F:$F,MATCH(A712,orders!$C:$C,0))</f>
        <v>Zorina Ponting</v>
      </c>
      <c r="C712" s="15">
        <f>_xlfn.MAXIFS(orders!$B:$B,orders!$C:$C,A712)</f>
        <v>44233</v>
      </c>
      <c r="D712" s="14">
        <f t="shared" si="67"/>
        <v>560</v>
      </c>
      <c r="E712" s="14">
        <f>COUNTIFS(orders!$C:$C,A712)</f>
        <v>1</v>
      </c>
      <c r="F712" s="16">
        <f>SUMIFS(orders!$M:$M,orders!$C:$C,A712)</f>
        <v>8.73</v>
      </c>
      <c r="G712" s="14" t="str">
        <f>INDEX(orders!$P:$P,MATCH(A712,orders!$C:$C,0))</f>
        <v>No</v>
      </c>
      <c r="H712" s="17">
        <f t="shared" si="68"/>
        <v>3</v>
      </c>
      <c r="I712" s="14">
        <f t="shared" si="69"/>
        <v>1</v>
      </c>
      <c r="J712">
        <f t="shared" si="70"/>
        <v>1</v>
      </c>
      <c r="K712" s="14">
        <f t="shared" si="71"/>
        <v>5</v>
      </c>
      <c r="L712" t="str">
        <f t="shared" si="72"/>
        <v>Standard One-Time Buyers</v>
      </c>
    </row>
    <row r="713" spans="1:12" x14ac:dyDescent="0.3">
      <c r="A713" s="12" t="s">
        <v>4592</v>
      </c>
      <c r="B713" s="14" t="str">
        <f>INDEX(orders!$F:$F,MATCH(A713,orders!$C:$C,0))</f>
        <v>Derrek Allpress</v>
      </c>
      <c r="C713" s="15">
        <f>_xlfn.MAXIFS(orders!$B:$B,orders!$C:$C,A713)</f>
        <v>44571</v>
      </c>
      <c r="D713" s="14">
        <f t="shared" si="67"/>
        <v>222</v>
      </c>
      <c r="E713" s="14">
        <f>COUNTIFS(orders!$C:$C,A713)</f>
        <v>1</v>
      </c>
      <c r="F713" s="16">
        <f>SUMIFS(orders!$M:$M,orders!$C:$C,A713)</f>
        <v>145.82</v>
      </c>
      <c r="G713" s="14" t="str">
        <f>INDEX(orders!$P:$P,MATCH(A713,orders!$C:$C,0))</f>
        <v>No</v>
      </c>
      <c r="H713" s="17">
        <f t="shared" si="68"/>
        <v>5</v>
      </c>
      <c r="I713" s="14">
        <f t="shared" si="69"/>
        <v>1</v>
      </c>
      <c r="J713">
        <f t="shared" si="70"/>
        <v>5</v>
      </c>
      <c r="K713" s="14">
        <f t="shared" si="71"/>
        <v>11</v>
      </c>
      <c r="L713" t="str">
        <f t="shared" si="72"/>
        <v>Recent High-Value (One-Time)</v>
      </c>
    </row>
    <row r="714" spans="1:12" x14ac:dyDescent="0.3">
      <c r="A714" s="12" t="s">
        <v>5916</v>
      </c>
      <c r="B714" s="14" t="str">
        <f>INDEX(orders!$F:$F,MATCH(A714,orders!$C:$C,0))</f>
        <v>Chad Miguel</v>
      </c>
      <c r="C714" s="15">
        <f>_xlfn.MAXIFS(orders!$B:$B,orders!$C:$C,A714)</f>
        <v>44591</v>
      </c>
      <c r="D714" s="14">
        <f t="shared" si="67"/>
        <v>202</v>
      </c>
      <c r="E714" s="14">
        <f>COUNTIFS(orders!$C:$C,A714)</f>
        <v>1</v>
      </c>
      <c r="F714" s="16">
        <f>SUMIFS(orders!$M:$M,orders!$C:$C,A714)</f>
        <v>79.25</v>
      </c>
      <c r="G714" s="14" t="str">
        <f>INDEX(orders!$P:$P,MATCH(A714,orders!$C:$C,0))</f>
        <v>Yes</v>
      </c>
      <c r="H714" s="17">
        <f t="shared" si="68"/>
        <v>5</v>
      </c>
      <c r="I714" s="14">
        <f t="shared" si="69"/>
        <v>1</v>
      </c>
      <c r="J714">
        <f t="shared" si="70"/>
        <v>5</v>
      </c>
      <c r="K714" s="14">
        <f t="shared" si="71"/>
        <v>11</v>
      </c>
      <c r="L714" t="str">
        <f t="shared" si="72"/>
        <v>Recent High-Value (One-Time)</v>
      </c>
    </row>
    <row r="715" spans="1:12" x14ac:dyDescent="0.3">
      <c r="A715" s="12" t="s">
        <v>4731</v>
      </c>
      <c r="B715" s="14" t="str">
        <f>INDEX(orders!$F:$F,MATCH(A715,orders!$C:$C,0))</f>
        <v>Hazel Iacopini</v>
      </c>
      <c r="C715" s="15">
        <f>_xlfn.MAXIFS(orders!$B:$B,orders!$C:$C,A715)</f>
        <v>44277</v>
      </c>
      <c r="D715" s="14">
        <f t="shared" si="67"/>
        <v>516</v>
      </c>
      <c r="E715" s="14">
        <f>COUNTIFS(orders!$C:$C,A715)</f>
        <v>1</v>
      </c>
      <c r="F715" s="16">
        <f>SUMIFS(orders!$M:$M,orders!$C:$C,A715)</f>
        <v>5.97</v>
      </c>
      <c r="G715" s="14" t="str">
        <f>INDEX(orders!$P:$P,MATCH(A715,orders!$C:$C,0))</f>
        <v>Yes</v>
      </c>
      <c r="H715" s="17">
        <f t="shared" si="68"/>
        <v>3</v>
      </c>
      <c r="I715" s="14">
        <f t="shared" si="69"/>
        <v>1</v>
      </c>
      <c r="J715">
        <f t="shared" si="70"/>
        <v>1</v>
      </c>
      <c r="K715" s="14">
        <f t="shared" si="71"/>
        <v>5</v>
      </c>
      <c r="L715" t="str">
        <f t="shared" si="72"/>
        <v>Standard One-Time Buyers</v>
      </c>
    </row>
    <row r="716" spans="1:12" x14ac:dyDescent="0.3">
      <c r="A716" s="12" t="s">
        <v>6102</v>
      </c>
      <c r="B716" s="14" t="str">
        <f>INDEX(orders!$F:$F,MATCH(A716,orders!$C:$C,0))</f>
        <v>Margarette Sterland</v>
      </c>
      <c r="C716" s="15">
        <f>_xlfn.MAXIFS(orders!$B:$B,orders!$C:$C,A716)</f>
        <v>44549</v>
      </c>
      <c r="D716" s="14">
        <f t="shared" si="67"/>
        <v>244</v>
      </c>
      <c r="E716" s="14">
        <f>COUNTIFS(orders!$C:$C,A716)</f>
        <v>1</v>
      </c>
      <c r="F716" s="16">
        <f>SUMIFS(orders!$M:$M,orders!$C:$C,A716)</f>
        <v>77.699999999999989</v>
      </c>
      <c r="G716" s="14" t="str">
        <f>INDEX(orders!$P:$P,MATCH(A716,orders!$C:$C,0))</f>
        <v>No</v>
      </c>
      <c r="H716" s="17">
        <f t="shared" si="68"/>
        <v>5</v>
      </c>
      <c r="I716" s="14">
        <f t="shared" si="69"/>
        <v>1</v>
      </c>
      <c r="J716">
        <f t="shared" si="70"/>
        <v>4</v>
      </c>
      <c r="K716" s="14">
        <f t="shared" si="71"/>
        <v>10</v>
      </c>
      <c r="L716" t="str">
        <f t="shared" si="72"/>
        <v>Recent High-Value (One-Time)</v>
      </c>
    </row>
    <row r="717" spans="1:12" x14ac:dyDescent="0.3">
      <c r="A717" s="12" t="s">
        <v>2722</v>
      </c>
      <c r="B717" s="14" t="str">
        <f>INDEX(orders!$F:$F,MATCH(A717,orders!$C:$C,0))</f>
        <v>Xenos Gibbons</v>
      </c>
      <c r="C717" s="15">
        <f>_xlfn.MAXIFS(orders!$B:$B,orders!$C:$C,A717)</f>
        <v>44140</v>
      </c>
      <c r="D717" s="14">
        <f t="shared" si="67"/>
        <v>653</v>
      </c>
      <c r="E717" s="14">
        <f>COUNTIFS(orders!$C:$C,A717)</f>
        <v>1</v>
      </c>
      <c r="F717" s="16">
        <f>SUMIFS(orders!$M:$M,orders!$C:$C,A717)</f>
        <v>38.849999999999994</v>
      </c>
      <c r="G717" s="14" t="str">
        <f>INDEX(orders!$P:$P,MATCH(A717,orders!$C:$C,0))</f>
        <v>No</v>
      </c>
      <c r="H717" s="17">
        <f t="shared" si="68"/>
        <v>3</v>
      </c>
      <c r="I717" s="14">
        <f t="shared" si="69"/>
        <v>1</v>
      </c>
      <c r="J717">
        <f t="shared" si="70"/>
        <v>3</v>
      </c>
      <c r="K717" s="14">
        <f t="shared" si="71"/>
        <v>7</v>
      </c>
      <c r="L717" t="str">
        <f t="shared" si="72"/>
        <v>Standard One-Time Buyers</v>
      </c>
    </row>
    <row r="718" spans="1:12" x14ac:dyDescent="0.3">
      <c r="A718" s="12" t="s">
        <v>1964</v>
      </c>
      <c r="B718" s="14" t="str">
        <f>INDEX(orders!$F:$F,MATCH(A718,orders!$C:$C,0))</f>
        <v>Monique Canty</v>
      </c>
      <c r="C718" s="15">
        <f>_xlfn.MAXIFS(orders!$B:$B,orders!$C:$C,A718)</f>
        <v>43538</v>
      </c>
      <c r="D718" s="14">
        <f t="shared" si="67"/>
        <v>1255</v>
      </c>
      <c r="E718" s="14">
        <f>COUNTIFS(orders!$C:$C,A718)</f>
        <v>1</v>
      </c>
      <c r="F718" s="16">
        <f>SUMIFS(orders!$M:$M,orders!$C:$C,A718)</f>
        <v>59.75</v>
      </c>
      <c r="G718" s="14" t="str">
        <f>INDEX(orders!$P:$P,MATCH(A718,orders!$C:$C,0))</f>
        <v>Yes</v>
      </c>
      <c r="H718" s="17">
        <f t="shared" si="68"/>
        <v>1</v>
      </c>
      <c r="I718" s="14">
        <f t="shared" si="69"/>
        <v>1</v>
      </c>
      <c r="J718">
        <f t="shared" si="70"/>
        <v>4</v>
      </c>
      <c r="K718" s="14">
        <f t="shared" si="71"/>
        <v>6</v>
      </c>
      <c r="L718" t="str">
        <f t="shared" si="72"/>
        <v>Lapsed One-Time Buyers</v>
      </c>
    </row>
    <row r="719" spans="1:12" x14ac:dyDescent="0.3">
      <c r="A719" s="12" t="s">
        <v>5363</v>
      </c>
      <c r="B719" s="14" t="str">
        <f>INDEX(orders!$F:$F,MATCH(A719,orders!$C:$C,0))</f>
        <v>Grazia Oats</v>
      </c>
      <c r="C719" s="15">
        <f>_xlfn.MAXIFS(orders!$B:$B,orders!$C:$C,A719)</f>
        <v>43725</v>
      </c>
      <c r="D719" s="14">
        <f t="shared" si="67"/>
        <v>1068</v>
      </c>
      <c r="E719" s="14">
        <f>COUNTIFS(orders!$C:$C,A719)</f>
        <v>1</v>
      </c>
      <c r="F719" s="16">
        <f>SUMIFS(orders!$M:$M,orders!$C:$C,A719)</f>
        <v>9.9499999999999993</v>
      </c>
      <c r="G719" s="14" t="str">
        <f>INDEX(orders!$P:$P,MATCH(A719,orders!$C:$C,0))</f>
        <v>Yes</v>
      </c>
      <c r="H719" s="17">
        <f t="shared" si="68"/>
        <v>1</v>
      </c>
      <c r="I719" s="14">
        <f t="shared" si="69"/>
        <v>1</v>
      </c>
      <c r="J719">
        <f t="shared" si="70"/>
        <v>1</v>
      </c>
      <c r="K719" s="14">
        <f t="shared" si="71"/>
        <v>3</v>
      </c>
      <c r="L719" t="str">
        <f t="shared" si="72"/>
        <v>Lapsed One-Time Buyers</v>
      </c>
    </row>
    <row r="720" spans="1:12" x14ac:dyDescent="0.3">
      <c r="A720" s="12" t="s">
        <v>3171</v>
      </c>
      <c r="B720" s="14" t="str">
        <f>INDEX(orders!$F:$F,MATCH(A720,orders!$C:$C,0))</f>
        <v>Granger Smallcombe</v>
      </c>
      <c r="C720" s="15">
        <f>_xlfn.MAXIFS(orders!$B:$B,orders!$C:$C,A720)</f>
        <v>44014</v>
      </c>
      <c r="D720" s="14">
        <f t="shared" si="67"/>
        <v>779</v>
      </c>
      <c r="E720" s="14">
        <f>COUNTIFS(orders!$C:$C,A720)</f>
        <v>1</v>
      </c>
      <c r="F720" s="16">
        <f>SUMIFS(orders!$M:$M,orders!$C:$C,A720)</f>
        <v>31.624999999999996</v>
      </c>
      <c r="G720" s="14" t="str">
        <f>INDEX(orders!$P:$P,MATCH(A720,orders!$C:$C,0))</f>
        <v>Yes</v>
      </c>
      <c r="H720" s="17">
        <f t="shared" si="68"/>
        <v>2</v>
      </c>
      <c r="I720" s="14">
        <f t="shared" si="69"/>
        <v>1</v>
      </c>
      <c r="J720">
        <f t="shared" si="70"/>
        <v>3</v>
      </c>
      <c r="K720" s="14">
        <f t="shared" si="71"/>
        <v>6</v>
      </c>
      <c r="L720" t="str">
        <f t="shared" si="72"/>
        <v>Lapsed One-Time Buyers</v>
      </c>
    </row>
    <row r="721" spans="1:12" x14ac:dyDescent="0.3">
      <c r="A721" s="12" t="s">
        <v>2453</v>
      </c>
      <c r="B721" s="14" t="str">
        <f>INDEX(orders!$F:$F,MATCH(A721,orders!$C:$C,0))</f>
        <v>Shelli Keynd</v>
      </c>
      <c r="C721" s="15">
        <f>_xlfn.MAXIFS(orders!$B:$B,orders!$C:$C,A721)</f>
        <v>43803</v>
      </c>
      <c r="D721" s="14">
        <f t="shared" si="67"/>
        <v>990</v>
      </c>
      <c r="E721" s="14">
        <f>COUNTIFS(orders!$C:$C,A721)</f>
        <v>1</v>
      </c>
      <c r="F721" s="16">
        <f>SUMIFS(orders!$M:$M,orders!$C:$C,A721)</f>
        <v>204.92999999999995</v>
      </c>
      <c r="G721" s="14" t="str">
        <f>INDEX(orders!$P:$P,MATCH(A721,orders!$C:$C,0))</f>
        <v>No</v>
      </c>
      <c r="H721" s="17">
        <f t="shared" si="68"/>
        <v>2</v>
      </c>
      <c r="I721" s="14">
        <f t="shared" si="69"/>
        <v>1</v>
      </c>
      <c r="J721">
        <f t="shared" si="70"/>
        <v>5</v>
      </c>
      <c r="K721" s="14">
        <f t="shared" si="71"/>
        <v>8</v>
      </c>
      <c r="L721" t="str">
        <f t="shared" si="72"/>
        <v>Lapsed One-Time Buyers</v>
      </c>
    </row>
    <row r="722" spans="1:12" x14ac:dyDescent="0.3">
      <c r="A722" s="12" t="s">
        <v>5051</v>
      </c>
      <c r="B722" s="14" t="str">
        <f>INDEX(orders!$F:$F,MATCH(A722,orders!$C:$C,0))</f>
        <v>Koren Ferretti</v>
      </c>
      <c r="C722" s="15">
        <f>_xlfn.MAXIFS(orders!$B:$B,orders!$C:$C,A722)</f>
        <v>44543</v>
      </c>
      <c r="D722" s="14">
        <f t="shared" si="67"/>
        <v>250</v>
      </c>
      <c r="E722" s="14">
        <f>COUNTIFS(orders!$C:$C,A722)</f>
        <v>1</v>
      </c>
      <c r="F722" s="16">
        <f>SUMIFS(orders!$M:$M,orders!$C:$C,A722)</f>
        <v>23.31</v>
      </c>
      <c r="G722" s="14" t="str">
        <f>INDEX(orders!$P:$P,MATCH(A722,orders!$C:$C,0))</f>
        <v>No</v>
      </c>
      <c r="H722" s="17">
        <f t="shared" si="68"/>
        <v>5</v>
      </c>
      <c r="I722" s="14">
        <f t="shared" si="69"/>
        <v>1</v>
      </c>
      <c r="J722">
        <f t="shared" si="70"/>
        <v>2</v>
      </c>
      <c r="K722" s="14">
        <f t="shared" si="71"/>
        <v>8</v>
      </c>
      <c r="L722" t="str">
        <f t="shared" si="72"/>
        <v>Standard One-Time Buyers</v>
      </c>
    </row>
    <row r="723" spans="1:12" x14ac:dyDescent="0.3">
      <c r="A723" s="12" t="s">
        <v>3380</v>
      </c>
      <c r="B723" s="14" t="str">
        <f>INDEX(orders!$F:$F,MATCH(A723,orders!$C:$C,0))</f>
        <v>Carolann Beine</v>
      </c>
      <c r="C723" s="15">
        <f>_xlfn.MAXIFS(orders!$B:$B,orders!$C:$C,A723)</f>
        <v>44043</v>
      </c>
      <c r="D723" s="14">
        <f t="shared" si="67"/>
        <v>750</v>
      </c>
      <c r="E723" s="14">
        <f>COUNTIFS(orders!$C:$C,A723)</f>
        <v>1</v>
      </c>
      <c r="F723" s="16">
        <f>SUMIFS(orders!$M:$M,orders!$C:$C,A723)</f>
        <v>13.5</v>
      </c>
      <c r="G723" s="14" t="str">
        <f>INDEX(orders!$P:$P,MATCH(A723,orders!$C:$C,0))</f>
        <v>Yes</v>
      </c>
      <c r="H723" s="17">
        <f t="shared" si="68"/>
        <v>3</v>
      </c>
      <c r="I723" s="14">
        <f t="shared" si="69"/>
        <v>1</v>
      </c>
      <c r="J723">
        <f t="shared" si="70"/>
        <v>1</v>
      </c>
      <c r="K723" s="14">
        <f t="shared" si="71"/>
        <v>5</v>
      </c>
      <c r="L723" t="str">
        <f t="shared" si="72"/>
        <v>Standard One-Time Buyers</v>
      </c>
    </row>
    <row r="724" spans="1:12" x14ac:dyDescent="0.3">
      <c r="A724" s="12" t="s">
        <v>4251</v>
      </c>
      <c r="B724" s="14" t="str">
        <f>INDEX(orders!$F:$F,MATCH(A724,orders!$C:$C,0))</f>
        <v>Jermaine Branchett</v>
      </c>
      <c r="C724" s="15">
        <f>_xlfn.MAXIFS(orders!$B:$B,orders!$C:$C,A724)</f>
        <v>43987</v>
      </c>
      <c r="D724" s="14">
        <f t="shared" si="67"/>
        <v>806</v>
      </c>
      <c r="E724" s="14">
        <f>COUNTIFS(orders!$C:$C,A724)</f>
        <v>1</v>
      </c>
      <c r="F724" s="16">
        <f>SUMIFS(orders!$M:$M,orders!$C:$C,A724)</f>
        <v>91.539999999999992</v>
      </c>
      <c r="G724" s="14" t="str">
        <f>INDEX(orders!$P:$P,MATCH(A724,orders!$C:$C,0))</f>
        <v>No</v>
      </c>
      <c r="H724" s="17">
        <f t="shared" si="68"/>
        <v>2</v>
      </c>
      <c r="I724" s="14">
        <f t="shared" si="69"/>
        <v>1</v>
      </c>
      <c r="J724">
        <f t="shared" si="70"/>
        <v>5</v>
      </c>
      <c r="K724" s="14">
        <f t="shared" si="71"/>
        <v>8</v>
      </c>
      <c r="L724" t="str">
        <f t="shared" si="72"/>
        <v>Lapsed One-Time Buyers</v>
      </c>
    </row>
    <row r="725" spans="1:12" x14ac:dyDescent="0.3">
      <c r="A725" s="12" t="s">
        <v>1801</v>
      </c>
      <c r="B725" s="14" t="str">
        <f>INDEX(orders!$F:$F,MATCH(A725,orders!$C:$C,0))</f>
        <v>Conny Gheraldi</v>
      </c>
      <c r="C725" s="15">
        <f>_xlfn.MAXIFS(orders!$B:$B,orders!$C:$C,A725)</f>
        <v>44010</v>
      </c>
      <c r="D725" s="14">
        <f t="shared" si="67"/>
        <v>783</v>
      </c>
      <c r="E725" s="14">
        <f>COUNTIFS(orders!$C:$C,A725)</f>
        <v>1</v>
      </c>
      <c r="F725" s="16">
        <f>SUMIFS(orders!$M:$M,orders!$C:$C,A725)</f>
        <v>23.774999999999999</v>
      </c>
      <c r="G725" s="14" t="str">
        <f>INDEX(orders!$P:$P,MATCH(A725,orders!$C:$C,0))</f>
        <v>No</v>
      </c>
      <c r="H725" s="17">
        <f t="shared" si="68"/>
        <v>2</v>
      </c>
      <c r="I725" s="14">
        <f t="shared" si="69"/>
        <v>1</v>
      </c>
      <c r="J725">
        <f t="shared" si="70"/>
        <v>2</v>
      </c>
      <c r="K725" s="14">
        <f t="shared" si="71"/>
        <v>5</v>
      </c>
      <c r="L725" t="str">
        <f t="shared" si="72"/>
        <v>Lapsed One-Time Buyers</v>
      </c>
    </row>
    <row r="726" spans="1:12" x14ac:dyDescent="0.3">
      <c r="A726" s="12" t="s">
        <v>1885</v>
      </c>
      <c r="B726" s="14" t="str">
        <f>INDEX(orders!$F:$F,MATCH(A726,orders!$C:$C,0))</f>
        <v>Delmar Beasant</v>
      </c>
      <c r="C726" s="15">
        <f>_xlfn.MAXIFS(orders!$B:$B,orders!$C:$C,A726)</f>
        <v>44131</v>
      </c>
      <c r="D726" s="14">
        <f t="shared" si="67"/>
        <v>662</v>
      </c>
      <c r="E726" s="14">
        <f>COUNTIFS(orders!$C:$C,A726)</f>
        <v>1</v>
      </c>
      <c r="F726" s="16">
        <f>SUMIFS(orders!$M:$M,orders!$C:$C,A726)</f>
        <v>21.509999999999998</v>
      </c>
      <c r="G726" s="14" t="str">
        <f>INDEX(orders!$P:$P,MATCH(A726,orders!$C:$C,0))</f>
        <v>Yes</v>
      </c>
      <c r="H726" s="17">
        <f t="shared" si="68"/>
        <v>3</v>
      </c>
      <c r="I726" s="14">
        <f t="shared" si="69"/>
        <v>1</v>
      </c>
      <c r="J726">
        <f t="shared" si="70"/>
        <v>2</v>
      </c>
      <c r="K726" s="14">
        <f t="shared" si="71"/>
        <v>6</v>
      </c>
      <c r="L726" t="str">
        <f t="shared" si="72"/>
        <v>Standard One-Time Buyers</v>
      </c>
    </row>
    <row r="727" spans="1:12" x14ac:dyDescent="0.3">
      <c r="A727" s="12" t="s">
        <v>2063</v>
      </c>
      <c r="B727" s="14" t="str">
        <f>INDEX(orders!$F:$F,MATCH(A727,orders!$C:$C,0))</f>
        <v>Emlynne Palfrey</v>
      </c>
      <c r="C727" s="15">
        <f>_xlfn.MAXIFS(orders!$B:$B,orders!$C:$C,A727)</f>
        <v>43708</v>
      </c>
      <c r="D727" s="14">
        <f t="shared" si="67"/>
        <v>1085</v>
      </c>
      <c r="E727" s="14">
        <f>COUNTIFS(orders!$C:$C,A727)</f>
        <v>1</v>
      </c>
      <c r="F727" s="16">
        <f>SUMIFS(orders!$M:$M,orders!$C:$C,A727)</f>
        <v>7.77</v>
      </c>
      <c r="G727" s="14" t="str">
        <f>INDEX(orders!$P:$P,MATCH(A727,orders!$C:$C,0))</f>
        <v>Yes</v>
      </c>
      <c r="H727" s="17">
        <f t="shared" si="68"/>
        <v>1</v>
      </c>
      <c r="I727" s="14">
        <f t="shared" si="69"/>
        <v>1</v>
      </c>
      <c r="J727">
        <f t="shared" si="70"/>
        <v>1</v>
      </c>
      <c r="K727" s="14">
        <f t="shared" si="71"/>
        <v>3</v>
      </c>
      <c r="L727" t="str">
        <f t="shared" si="72"/>
        <v>Lapsed One-Time Buyers</v>
      </c>
    </row>
    <row r="728" spans="1:12" x14ac:dyDescent="0.3">
      <c r="A728" s="12" t="s">
        <v>834</v>
      </c>
      <c r="B728" s="14" t="str">
        <f>INDEX(orders!$F:$F,MATCH(A728,orders!$C:$C,0))</f>
        <v>Pammi Endacott</v>
      </c>
      <c r="C728" s="15">
        <f>_xlfn.MAXIFS(orders!$B:$B,orders!$C:$C,A728)</f>
        <v>43521</v>
      </c>
      <c r="D728" s="14">
        <f t="shared" si="67"/>
        <v>1272</v>
      </c>
      <c r="E728" s="14">
        <f>COUNTIFS(orders!$C:$C,A728)</f>
        <v>1</v>
      </c>
      <c r="F728" s="16">
        <f>SUMIFS(orders!$M:$M,orders!$C:$C,A728)</f>
        <v>26.849999999999994</v>
      </c>
      <c r="G728" s="14" t="str">
        <f>INDEX(orders!$P:$P,MATCH(A728,orders!$C:$C,0))</f>
        <v>Yes</v>
      </c>
      <c r="H728" s="17">
        <f t="shared" si="68"/>
        <v>1</v>
      </c>
      <c r="I728" s="14">
        <f t="shared" si="69"/>
        <v>1</v>
      </c>
      <c r="J728">
        <f t="shared" si="70"/>
        <v>3</v>
      </c>
      <c r="K728" s="14">
        <f t="shared" si="71"/>
        <v>5</v>
      </c>
      <c r="L728" t="str">
        <f t="shared" si="72"/>
        <v>Lapsed One-Time Buyers</v>
      </c>
    </row>
    <row r="729" spans="1:12" x14ac:dyDescent="0.3">
      <c r="A729" s="12" t="s">
        <v>5974</v>
      </c>
      <c r="B729" s="14" t="str">
        <f>INDEX(orders!$F:$F,MATCH(A729,orders!$C:$C,0))</f>
        <v>Sharl Southerill</v>
      </c>
      <c r="C729" s="15">
        <f>_xlfn.MAXIFS(orders!$B:$B,orders!$C:$C,A729)</f>
        <v>43729</v>
      </c>
      <c r="D729" s="14">
        <f t="shared" si="67"/>
        <v>1064</v>
      </c>
      <c r="E729" s="14">
        <f>COUNTIFS(orders!$C:$C,A729)</f>
        <v>1</v>
      </c>
      <c r="F729" s="16">
        <f>SUMIFS(orders!$M:$M,orders!$C:$C,A729)</f>
        <v>8.25</v>
      </c>
      <c r="G729" s="14" t="str">
        <f>INDEX(orders!$P:$P,MATCH(A729,orders!$C:$C,0))</f>
        <v>No</v>
      </c>
      <c r="H729" s="17">
        <f t="shared" si="68"/>
        <v>1</v>
      </c>
      <c r="I729" s="14">
        <f t="shared" si="69"/>
        <v>1</v>
      </c>
      <c r="J729">
        <f t="shared" si="70"/>
        <v>1</v>
      </c>
      <c r="K729" s="14">
        <f t="shared" si="71"/>
        <v>3</v>
      </c>
      <c r="L729" t="str">
        <f t="shared" si="72"/>
        <v>Lapsed One-Time Buyers</v>
      </c>
    </row>
    <row r="730" spans="1:12" x14ac:dyDescent="0.3">
      <c r="A730" s="12" t="s">
        <v>2325</v>
      </c>
      <c r="B730" s="14" t="str">
        <f>INDEX(orders!$F:$F,MATCH(A730,orders!$C:$C,0))</f>
        <v>Trina Le Sarr</v>
      </c>
      <c r="C730" s="15">
        <f>_xlfn.MAXIFS(orders!$B:$B,orders!$C:$C,A730)</f>
        <v>44756</v>
      </c>
      <c r="D730" s="14">
        <f t="shared" si="67"/>
        <v>37</v>
      </c>
      <c r="E730" s="14">
        <f>COUNTIFS(orders!$C:$C,A730)</f>
        <v>1</v>
      </c>
      <c r="F730" s="16">
        <f>SUMIFS(orders!$M:$M,orders!$C:$C,A730)</f>
        <v>29.784999999999997</v>
      </c>
      <c r="G730" s="14" t="str">
        <f>INDEX(orders!$P:$P,MATCH(A730,orders!$C:$C,0))</f>
        <v>Yes</v>
      </c>
      <c r="H730" s="17">
        <f t="shared" si="68"/>
        <v>5</v>
      </c>
      <c r="I730" s="14">
        <f t="shared" si="69"/>
        <v>1</v>
      </c>
      <c r="J730">
        <f t="shared" si="70"/>
        <v>3</v>
      </c>
      <c r="K730" s="14">
        <f t="shared" si="71"/>
        <v>9</v>
      </c>
      <c r="L730" t="str">
        <f t="shared" si="72"/>
        <v>Standard One-Time Buyers</v>
      </c>
    </row>
    <row r="731" spans="1:12" x14ac:dyDescent="0.3">
      <c r="A731" s="12" t="s">
        <v>3177</v>
      </c>
      <c r="B731" s="14" t="str">
        <f>INDEX(orders!$F:$F,MATCH(A731,orders!$C:$C,0))</f>
        <v>Daryn Dibley</v>
      </c>
      <c r="C731" s="15">
        <f>_xlfn.MAXIFS(orders!$B:$B,orders!$C:$C,A731)</f>
        <v>44767</v>
      </c>
      <c r="D731" s="14">
        <f t="shared" si="67"/>
        <v>26</v>
      </c>
      <c r="E731" s="14">
        <f>COUNTIFS(orders!$C:$C,A731)</f>
        <v>1</v>
      </c>
      <c r="F731" s="16">
        <f>SUMIFS(orders!$M:$M,orders!$C:$C,A731)</f>
        <v>8.73</v>
      </c>
      <c r="G731" s="14" t="str">
        <f>INDEX(orders!$P:$P,MATCH(A731,orders!$C:$C,0))</f>
        <v>No</v>
      </c>
      <c r="H731" s="17">
        <f t="shared" si="68"/>
        <v>5</v>
      </c>
      <c r="I731" s="14">
        <f t="shared" si="69"/>
        <v>1</v>
      </c>
      <c r="J731">
        <f t="shared" si="70"/>
        <v>1</v>
      </c>
      <c r="K731" s="14">
        <f t="shared" si="71"/>
        <v>7</v>
      </c>
      <c r="L731" t="str">
        <f t="shared" si="72"/>
        <v>Standard One-Time Buyers</v>
      </c>
    </row>
    <row r="732" spans="1:12" x14ac:dyDescent="0.3">
      <c r="A732" s="12" t="s">
        <v>4546</v>
      </c>
      <c r="B732" s="14" t="str">
        <f>INDEX(orders!$F:$F,MATCH(A732,orders!$C:$C,0))</f>
        <v>Darice Heaford</v>
      </c>
      <c r="C732" s="15">
        <f>_xlfn.MAXIFS(orders!$B:$B,orders!$C:$C,A732)</f>
        <v>44348</v>
      </c>
      <c r="D732" s="14">
        <f t="shared" si="67"/>
        <v>445</v>
      </c>
      <c r="E732" s="14">
        <f>COUNTIFS(orders!$C:$C,A732)</f>
        <v>1</v>
      </c>
      <c r="F732" s="16">
        <f>SUMIFS(orders!$M:$M,orders!$C:$C,A732)</f>
        <v>38.849999999999994</v>
      </c>
      <c r="G732" s="14" t="str">
        <f>INDEX(orders!$P:$P,MATCH(A732,orders!$C:$C,0))</f>
        <v>No</v>
      </c>
      <c r="H732" s="17">
        <f t="shared" si="68"/>
        <v>4</v>
      </c>
      <c r="I732" s="14">
        <f t="shared" si="69"/>
        <v>1</v>
      </c>
      <c r="J732">
        <f t="shared" si="70"/>
        <v>3</v>
      </c>
      <c r="K732" s="14">
        <f t="shared" si="71"/>
        <v>8</v>
      </c>
      <c r="L732" t="str">
        <f t="shared" si="72"/>
        <v>Standard One-Time Buyers</v>
      </c>
    </row>
    <row r="733" spans="1:12" x14ac:dyDescent="0.3">
      <c r="A733" s="12" t="s">
        <v>1929</v>
      </c>
      <c r="B733" s="14" t="str">
        <f>INDEX(orders!$F:$F,MATCH(A733,orders!$C:$C,0))</f>
        <v>Cleve Blowfelde</v>
      </c>
      <c r="C733" s="15">
        <f>_xlfn.MAXIFS(orders!$B:$B,orders!$C:$C,A733)</f>
        <v>44439</v>
      </c>
      <c r="D733" s="14">
        <f t="shared" si="67"/>
        <v>354</v>
      </c>
      <c r="E733" s="14">
        <f>COUNTIFS(orders!$C:$C,A733)</f>
        <v>1</v>
      </c>
      <c r="F733" s="16">
        <f>SUMIFS(orders!$M:$M,orders!$C:$C,A733)</f>
        <v>21.509999999999998</v>
      </c>
      <c r="G733" s="14" t="str">
        <f>INDEX(orders!$P:$P,MATCH(A733,orders!$C:$C,0))</f>
        <v>No</v>
      </c>
      <c r="H733" s="17">
        <f t="shared" si="68"/>
        <v>4</v>
      </c>
      <c r="I733" s="14">
        <f t="shared" si="69"/>
        <v>1</v>
      </c>
      <c r="J733">
        <f t="shared" si="70"/>
        <v>2</v>
      </c>
      <c r="K733" s="14">
        <f t="shared" si="71"/>
        <v>7</v>
      </c>
      <c r="L733" t="str">
        <f t="shared" si="72"/>
        <v>Standard One-Time Buyers</v>
      </c>
    </row>
    <row r="734" spans="1:12" x14ac:dyDescent="0.3">
      <c r="A734" s="12" t="s">
        <v>1689</v>
      </c>
      <c r="B734" s="14" t="str">
        <f>INDEX(orders!$F:$F,MATCH(A734,orders!$C:$C,0))</f>
        <v>Emiline Galgey</v>
      </c>
      <c r="C734" s="15">
        <f>_xlfn.MAXIFS(orders!$B:$B,orders!$C:$C,A734)</f>
        <v>44646</v>
      </c>
      <c r="D734" s="14">
        <f t="shared" si="67"/>
        <v>147</v>
      </c>
      <c r="E734" s="14">
        <f>COUNTIFS(orders!$C:$C,A734)</f>
        <v>1</v>
      </c>
      <c r="F734" s="16">
        <f>SUMIFS(orders!$M:$M,orders!$C:$C,A734)</f>
        <v>20.584999999999997</v>
      </c>
      <c r="G734" s="14" t="str">
        <f>INDEX(orders!$P:$P,MATCH(A734,orders!$C:$C,0))</f>
        <v>No</v>
      </c>
      <c r="H734" s="17">
        <f t="shared" si="68"/>
        <v>5</v>
      </c>
      <c r="I734" s="14">
        <f t="shared" si="69"/>
        <v>1</v>
      </c>
      <c r="J734">
        <f t="shared" si="70"/>
        <v>2</v>
      </c>
      <c r="K734" s="14">
        <f t="shared" si="71"/>
        <v>8</v>
      </c>
      <c r="L734" t="str">
        <f t="shared" si="72"/>
        <v>Standard One-Time Buyers</v>
      </c>
    </row>
    <row r="735" spans="1:12" x14ac:dyDescent="0.3">
      <c r="A735" s="12" t="s">
        <v>1527</v>
      </c>
      <c r="B735" s="14" t="str">
        <f>INDEX(orders!$F:$F,MATCH(A735,orders!$C:$C,0))</f>
        <v>Isa Blazewicz</v>
      </c>
      <c r="C735" s="15">
        <f>_xlfn.MAXIFS(orders!$B:$B,orders!$C:$C,A735)</f>
        <v>44397</v>
      </c>
      <c r="D735" s="14">
        <f t="shared" si="67"/>
        <v>396</v>
      </c>
      <c r="E735" s="14">
        <f>COUNTIFS(orders!$C:$C,A735)</f>
        <v>1</v>
      </c>
      <c r="F735" s="16">
        <f>SUMIFS(orders!$M:$M,orders!$C:$C,A735)</f>
        <v>31.08</v>
      </c>
      <c r="G735" s="14" t="str">
        <f>INDEX(orders!$P:$P,MATCH(A735,orders!$C:$C,0))</f>
        <v>No</v>
      </c>
      <c r="H735" s="17">
        <f t="shared" si="68"/>
        <v>4</v>
      </c>
      <c r="I735" s="14">
        <f t="shared" si="69"/>
        <v>1</v>
      </c>
      <c r="J735">
        <f t="shared" si="70"/>
        <v>3</v>
      </c>
      <c r="K735" s="14">
        <f t="shared" si="71"/>
        <v>8</v>
      </c>
      <c r="L735" t="str">
        <f t="shared" si="72"/>
        <v>Standard One-Time Buyers</v>
      </c>
    </row>
    <row r="736" spans="1:12" x14ac:dyDescent="0.3">
      <c r="A736" s="12" t="s">
        <v>1749</v>
      </c>
      <c r="B736" s="14" t="str">
        <f>INDEX(orders!$F:$F,MATCH(A736,orders!$C:$C,0))</f>
        <v>Bobbe Piggott</v>
      </c>
      <c r="C736" s="15">
        <f>_xlfn.MAXIFS(orders!$B:$B,orders!$C:$C,A736)</f>
        <v>44109</v>
      </c>
      <c r="D736" s="14">
        <f t="shared" si="67"/>
        <v>684</v>
      </c>
      <c r="E736" s="14">
        <f>COUNTIFS(orders!$C:$C,A736)</f>
        <v>1</v>
      </c>
      <c r="F736" s="16">
        <f>SUMIFS(orders!$M:$M,orders!$C:$C,A736)</f>
        <v>59.4</v>
      </c>
      <c r="G736" s="14" t="str">
        <f>INDEX(orders!$P:$P,MATCH(A736,orders!$C:$C,0))</f>
        <v>Yes</v>
      </c>
      <c r="H736" s="17">
        <f t="shared" si="68"/>
        <v>3</v>
      </c>
      <c r="I736" s="14">
        <f t="shared" si="69"/>
        <v>1</v>
      </c>
      <c r="J736">
        <f t="shared" si="70"/>
        <v>4</v>
      </c>
      <c r="K736" s="14">
        <f t="shared" si="71"/>
        <v>8</v>
      </c>
      <c r="L736" t="str">
        <f t="shared" si="72"/>
        <v>Standard One-Time Buyers</v>
      </c>
    </row>
    <row r="737" spans="1:12" x14ac:dyDescent="0.3">
      <c r="A737" s="12" t="s">
        <v>4997</v>
      </c>
      <c r="B737" s="14" t="str">
        <f>INDEX(orders!$F:$F,MATCH(A737,orders!$C:$C,0))</f>
        <v>Jed Kennicott</v>
      </c>
      <c r="C737" s="15">
        <f>_xlfn.MAXIFS(orders!$B:$B,orders!$C:$C,A737)</f>
        <v>44751</v>
      </c>
      <c r="D737" s="14">
        <f t="shared" si="67"/>
        <v>42</v>
      </c>
      <c r="E737" s="14">
        <f>COUNTIFS(orders!$C:$C,A737)</f>
        <v>1</v>
      </c>
      <c r="F737" s="16">
        <f>SUMIFS(orders!$M:$M,orders!$C:$C,A737)</f>
        <v>31.08</v>
      </c>
      <c r="G737" s="14" t="str">
        <f>INDEX(orders!$P:$P,MATCH(A737,orders!$C:$C,0))</f>
        <v>No</v>
      </c>
      <c r="H737" s="17">
        <f t="shared" si="68"/>
        <v>5</v>
      </c>
      <c r="I737" s="14">
        <f t="shared" si="69"/>
        <v>1</v>
      </c>
      <c r="J737">
        <f t="shared" si="70"/>
        <v>3</v>
      </c>
      <c r="K737" s="14">
        <f t="shared" si="71"/>
        <v>9</v>
      </c>
      <c r="L737" t="str">
        <f t="shared" si="72"/>
        <v>Standard One-Time Buyers</v>
      </c>
    </row>
    <row r="738" spans="1:12" x14ac:dyDescent="0.3">
      <c r="A738" s="12" t="s">
        <v>3314</v>
      </c>
      <c r="B738" s="14" t="str">
        <f>INDEX(orders!$F:$F,MATCH(A738,orders!$C:$C,0))</f>
        <v>Malynda Purbrick</v>
      </c>
      <c r="C738" s="15">
        <f>_xlfn.MAXIFS(orders!$B:$B,orders!$C:$C,A738)</f>
        <v>44003</v>
      </c>
      <c r="D738" s="14">
        <f t="shared" si="67"/>
        <v>790</v>
      </c>
      <c r="E738" s="14">
        <f>COUNTIFS(orders!$C:$C,A738)</f>
        <v>1</v>
      </c>
      <c r="F738" s="16">
        <f>SUMIFS(orders!$M:$M,orders!$C:$C,A738)</f>
        <v>8.0549999999999997</v>
      </c>
      <c r="G738" s="14" t="str">
        <f>INDEX(orders!$P:$P,MATCH(A738,orders!$C:$C,0))</f>
        <v>Yes</v>
      </c>
      <c r="H738" s="17">
        <f t="shared" si="68"/>
        <v>2</v>
      </c>
      <c r="I738" s="14">
        <f t="shared" si="69"/>
        <v>1</v>
      </c>
      <c r="J738">
        <f t="shared" si="70"/>
        <v>1</v>
      </c>
      <c r="K738" s="14">
        <f t="shared" si="71"/>
        <v>4</v>
      </c>
      <c r="L738" t="str">
        <f t="shared" si="72"/>
        <v>Lapsed One-Time Buyers</v>
      </c>
    </row>
    <row r="739" spans="1:12" x14ac:dyDescent="0.3">
      <c r="A739" s="12" t="s">
        <v>4013</v>
      </c>
      <c r="B739" s="14" t="str">
        <f>INDEX(orders!$F:$F,MATCH(A739,orders!$C:$C,0))</f>
        <v>Dianne Chardin</v>
      </c>
      <c r="C739" s="15">
        <f>_xlfn.MAXIFS(orders!$B:$B,orders!$C:$C,A739)</f>
        <v>44010</v>
      </c>
      <c r="D739" s="14">
        <f t="shared" si="67"/>
        <v>783</v>
      </c>
      <c r="E739" s="14">
        <f>COUNTIFS(orders!$C:$C,A739)</f>
        <v>1</v>
      </c>
      <c r="F739" s="16">
        <f>SUMIFS(orders!$M:$M,orders!$C:$C,A739)</f>
        <v>63.249999999999993</v>
      </c>
      <c r="G739" s="14" t="str">
        <f>INDEX(orders!$P:$P,MATCH(A739,orders!$C:$C,0))</f>
        <v>Yes</v>
      </c>
      <c r="H739" s="17">
        <f t="shared" si="68"/>
        <v>2</v>
      </c>
      <c r="I739" s="14">
        <f t="shared" si="69"/>
        <v>1</v>
      </c>
      <c r="J739">
        <f t="shared" si="70"/>
        <v>4</v>
      </c>
      <c r="K739" s="14">
        <f t="shared" si="71"/>
        <v>7</v>
      </c>
      <c r="L739" t="str">
        <f t="shared" si="72"/>
        <v>Lapsed One-Time Buyers</v>
      </c>
    </row>
    <row r="740" spans="1:12" x14ac:dyDescent="0.3">
      <c r="A740" s="12" t="s">
        <v>5183</v>
      </c>
      <c r="B740" s="14" t="str">
        <f>INDEX(orders!$F:$F,MATCH(A740,orders!$C:$C,0))</f>
        <v>Helaina Rainforth</v>
      </c>
      <c r="C740" s="15">
        <f>_xlfn.MAXIFS(orders!$B:$B,orders!$C:$C,A740)</f>
        <v>44414</v>
      </c>
      <c r="D740" s="14">
        <f t="shared" si="67"/>
        <v>379</v>
      </c>
      <c r="E740" s="14">
        <f>COUNTIFS(orders!$C:$C,A740)</f>
        <v>2</v>
      </c>
      <c r="F740" s="16">
        <f>SUMIFS(orders!$M:$M,orders!$C:$C,A740)</f>
        <v>33.47</v>
      </c>
      <c r="G740" s="14" t="str">
        <f>INDEX(orders!$P:$P,MATCH(A740,orders!$C:$C,0))</f>
        <v>No</v>
      </c>
      <c r="H740" s="17">
        <f t="shared" si="68"/>
        <v>4</v>
      </c>
      <c r="I740" s="14">
        <f t="shared" si="69"/>
        <v>3</v>
      </c>
      <c r="J740">
        <f t="shared" si="70"/>
        <v>3</v>
      </c>
      <c r="K740" s="14">
        <f t="shared" si="71"/>
        <v>10</v>
      </c>
      <c r="L740" t="str">
        <f t="shared" si="72"/>
        <v>Loyal Repeat Customers</v>
      </c>
    </row>
    <row r="741" spans="1:12" x14ac:dyDescent="0.3">
      <c r="A741" s="12" t="s">
        <v>908</v>
      </c>
      <c r="B741" s="14" t="str">
        <f>INDEX(orders!$F:$F,MATCH(A741,orders!$C:$C,0))</f>
        <v>Jennifer Rangall</v>
      </c>
      <c r="C741" s="15">
        <f>_xlfn.MAXIFS(orders!$B:$B,orders!$C:$C,A741)</f>
        <v>44396</v>
      </c>
      <c r="D741" s="14">
        <f t="shared" si="67"/>
        <v>397</v>
      </c>
      <c r="E741" s="14">
        <f>COUNTIFS(orders!$C:$C,A741)</f>
        <v>1</v>
      </c>
      <c r="F741" s="16">
        <f>SUMIFS(orders!$M:$M,orders!$C:$C,A741)</f>
        <v>17.82</v>
      </c>
      <c r="G741" s="14" t="str">
        <f>INDEX(orders!$P:$P,MATCH(A741,orders!$C:$C,0))</f>
        <v>Yes</v>
      </c>
      <c r="H741" s="17">
        <f t="shared" si="68"/>
        <v>4</v>
      </c>
      <c r="I741" s="14">
        <f t="shared" si="69"/>
        <v>1</v>
      </c>
      <c r="J741">
        <f t="shared" si="70"/>
        <v>2</v>
      </c>
      <c r="K741" s="14">
        <f t="shared" si="71"/>
        <v>7</v>
      </c>
      <c r="L741" t="str">
        <f t="shared" si="72"/>
        <v>Standard One-Time Buyers</v>
      </c>
    </row>
    <row r="742" spans="1:12" x14ac:dyDescent="0.3">
      <c r="A742" s="12" t="s">
        <v>2622</v>
      </c>
      <c r="B742" s="14" t="str">
        <f>INDEX(orders!$F:$F,MATCH(A742,orders!$C:$C,0))</f>
        <v>Jany Rudeforth</v>
      </c>
      <c r="C742" s="15">
        <f>_xlfn.MAXIFS(orders!$B:$B,orders!$C:$C,A742)</f>
        <v>44377</v>
      </c>
      <c r="D742" s="14">
        <f t="shared" si="67"/>
        <v>416</v>
      </c>
      <c r="E742" s="14">
        <f>COUNTIFS(orders!$C:$C,A742)</f>
        <v>1</v>
      </c>
      <c r="F742" s="16">
        <f>SUMIFS(orders!$M:$M,orders!$C:$C,A742)</f>
        <v>23.31</v>
      </c>
      <c r="G742" s="14" t="str">
        <f>INDEX(orders!$P:$P,MATCH(A742,orders!$C:$C,0))</f>
        <v>Yes</v>
      </c>
      <c r="H742" s="17">
        <f t="shared" si="68"/>
        <v>4</v>
      </c>
      <c r="I742" s="14">
        <f t="shared" si="69"/>
        <v>1</v>
      </c>
      <c r="J742">
        <f t="shared" si="70"/>
        <v>2</v>
      </c>
      <c r="K742" s="14">
        <f t="shared" si="71"/>
        <v>7</v>
      </c>
      <c r="L742" t="str">
        <f t="shared" si="72"/>
        <v>Standard One-Time Buyers</v>
      </c>
    </row>
    <row r="743" spans="1:12" x14ac:dyDescent="0.3">
      <c r="A743" s="12" t="s">
        <v>2370</v>
      </c>
      <c r="B743" s="14" t="str">
        <f>INDEX(orders!$F:$F,MATCH(A743,orders!$C:$C,0))</f>
        <v>Vivyan Ceely</v>
      </c>
      <c r="C743" s="15">
        <f>_xlfn.MAXIFS(orders!$B:$B,orders!$C:$C,A743)</f>
        <v>43712</v>
      </c>
      <c r="D743" s="14">
        <f t="shared" si="67"/>
        <v>1081</v>
      </c>
      <c r="E743" s="14">
        <f>COUNTIFS(orders!$C:$C,A743)</f>
        <v>1</v>
      </c>
      <c r="F743" s="16">
        <f>SUMIFS(orders!$M:$M,orders!$C:$C,A743)</f>
        <v>23.88</v>
      </c>
      <c r="G743" s="14" t="str">
        <f>INDEX(orders!$P:$P,MATCH(A743,orders!$C:$C,0))</f>
        <v>Yes</v>
      </c>
      <c r="H743" s="17">
        <f t="shared" si="68"/>
        <v>1</v>
      </c>
      <c r="I743" s="14">
        <f t="shared" si="69"/>
        <v>1</v>
      </c>
      <c r="J743">
        <f t="shared" si="70"/>
        <v>2</v>
      </c>
      <c r="K743" s="14">
        <f t="shared" si="71"/>
        <v>4</v>
      </c>
      <c r="L743" t="str">
        <f t="shared" si="72"/>
        <v>Lapsed One-Time Buyers</v>
      </c>
    </row>
    <row r="744" spans="1:12" x14ac:dyDescent="0.3">
      <c r="A744" s="12" t="s">
        <v>981</v>
      </c>
      <c r="B744" s="14" t="str">
        <f>INDEX(orders!$F:$F,MATCH(A744,orders!$C:$C,0))</f>
        <v>Beitris Keaveney</v>
      </c>
      <c r="C744" s="15">
        <f>_xlfn.MAXIFS(orders!$B:$B,orders!$C:$C,A744)</f>
        <v>44289</v>
      </c>
      <c r="D744" s="14">
        <f t="shared" si="67"/>
        <v>504</v>
      </c>
      <c r="E744" s="14">
        <f>COUNTIFS(orders!$C:$C,A744)</f>
        <v>1</v>
      </c>
      <c r="F744" s="16">
        <f>SUMIFS(orders!$M:$M,orders!$C:$C,A744)</f>
        <v>33.75</v>
      </c>
      <c r="G744" s="14" t="str">
        <f>INDEX(orders!$P:$P,MATCH(A744,orders!$C:$C,0))</f>
        <v>No</v>
      </c>
      <c r="H744" s="17">
        <f t="shared" si="68"/>
        <v>4</v>
      </c>
      <c r="I744" s="14">
        <f t="shared" si="69"/>
        <v>1</v>
      </c>
      <c r="J744">
        <f t="shared" si="70"/>
        <v>3</v>
      </c>
      <c r="K744" s="14">
        <f t="shared" si="71"/>
        <v>8</v>
      </c>
      <c r="L744" t="str">
        <f t="shared" si="72"/>
        <v>Standard One-Time Buyers</v>
      </c>
    </row>
    <row r="745" spans="1:12" x14ac:dyDescent="0.3">
      <c r="A745" s="12" t="s">
        <v>955</v>
      </c>
      <c r="B745" s="14" t="str">
        <f>INDEX(orders!$F:$F,MATCH(A745,orders!$C:$C,0))</f>
        <v>Bunny Naulls</v>
      </c>
      <c r="C745" s="15">
        <f>_xlfn.MAXIFS(orders!$B:$B,orders!$C:$C,A745)</f>
        <v>43721</v>
      </c>
      <c r="D745" s="14">
        <f t="shared" si="67"/>
        <v>1072</v>
      </c>
      <c r="E745" s="14">
        <f>COUNTIFS(orders!$C:$C,A745)</f>
        <v>1</v>
      </c>
      <c r="F745" s="16">
        <f>SUMIFS(orders!$M:$M,orders!$C:$C,A745)</f>
        <v>100.39499999999998</v>
      </c>
      <c r="G745" s="14" t="str">
        <f>INDEX(orders!$P:$P,MATCH(A745,orders!$C:$C,0))</f>
        <v>Yes</v>
      </c>
      <c r="H745" s="17">
        <f t="shared" si="68"/>
        <v>1</v>
      </c>
      <c r="I745" s="14">
        <f t="shared" si="69"/>
        <v>1</v>
      </c>
      <c r="J745">
        <f t="shared" si="70"/>
        <v>5</v>
      </c>
      <c r="K745" s="14">
        <f t="shared" si="71"/>
        <v>7</v>
      </c>
      <c r="L745" t="str">
        <f t="shared" si="72"/>
        <v>Lapsed One-Time Buyers</v>
      </c>
    </row>
    <row r="746" spans="1:12" x14ac:dyDescent="0.3">
      <c r="A746" s="12" t="s">
        <v>1039</v>
      </c>
      <c r="B746" s="14" t="str">
        <f>INDEX(orders!$F:$F,MATCH(A746,orders!$C:$C,0))</f>
        <v>Ruy Cancellieri</v>
      </c>
      <c r="C746" s="15">
        <f>_xlfn.MAXIFS(orders!$B:$B,orders!$C:$C,A746)</f>
        <v>44394</v>
      </c>
      <c r="D746" s="14">
        <f t="shared" si="67"/>
        <v>399</v>
      </c>
      <c r="E746" s="14">
        <f>COUNTIFS(orders!$C:$C,A746)</f>
        <v>1</v>
      </c>
      <c r="F746" s="16">
        <f>SUMIFS(orders!$M:$M,orders!$C:$C,A746)</f>
        <v>2.9849999999999999</v>
      </c>
      <c r="G746" s="14" t="str">
        <f>INDEX(orders!$P:$P,MATCH(A746,orders!$C:$C,0))</f>
        <v>No</v>
      </c>
      <c r="H746" s="17">
        <f t="shared" si="68"/>
        <v>4</v>
      </c>
      <c r="I746" s="14">
        <f t="shared" si="69"/>
        <v>1</v>
      </c>
      <c r="J746">
        <f t="shared" si="70"/>
        <v>1</v>
      </c>
      <c r="K746" s="14">
        <f t="shared" si="71"/>
        <v>6</v>
      </c>
      <c r="L746" t="str">
        <f t="shared" si="72"/>
        <v>Standard One-Time Buyers</v>
      </c>
    </row>
    <row r="747" spans="1:12" x14ac:dyDescent="0.3">
      <c r="A747" s="12" t="s">
        <v>1228</v>
      </c>
      <c r="B747" s="14" t="str">
        <f>INDEX(orders!$F:$F,MATCH(A747,orders!$C:$C,0))</f>
        <v>Bobinette Hindsberg</v>
      </c>
      <c r="C747" s="15">
        <f>_xlfn.MAXIFS(orders!$B:$B,orders!$C:$C,A747)</f>
        <v>44196</v>
      </c>
      <c r="D747" s="14">
        <f t="shared" si="67"/>
        <v>597</v>
      </c>
      <c r="E747" s="14">
        <f>COUNTIFS(orders!$C:$C,A747)</f>
        <v>1</v>
      </c>
      <c r="F747" s="16">
        <f>SUMIFS(orders!$M:$M,orders!$C:$C,A747)</f>
        <v>14.58</v>
      </c>
      <c r="G747" s="14" t="str">
        <f>INDEX(orders!$P:$P,MATCH(A747,orders!$C:$C,0))</f>
        <v>Yes</v>
      </c>
      <c r="H747" s="17">
        <f t="shared" si="68"/>
        <v>3</v>
      </c>
      <c r="I747" s="14">
        <f t="shared" si="69"/>
        <v>1</v>
      </c>
      <c r="J747">
        <f t="shared" si="70"/>
        <v>2</v>
      </c>
      <c r="K747" s="14">
        <f t="shared" si="71"/>
        <v>6</v>
      </c>
      <c r="L747" t="str">
        <f t="shared" si="72"/>
        <v>Standard One-Time Buyers</v>
      </c>
    </row>
    <row r="748" spans="1:12" x14ac:dyDescent="0.3">
      <c r="A748" s="12" t="s">
        <v>5473</v>
      </c>
      <c r="B748" s="14" t="str">
        <f>INDEX(orders!$F:$F,MATCH(A748,orders!$C:$C,0))</f>
        <v>Bobbe Castagneto</v>
      </c>
      <c r="C748" s="15">
        <f>_xlfn.MAXIFS(orders!$B:$B,orders!$C:$C,A748)</f>
        <v>44286</v>
      </c>
      <c r="D748" s="14">
        <f t="shared" si="67"/>
        <v>507</v>
      </c>
      <c r="E748" s="14">
        <f>COUNTIFS(orders!$C:$C,A748)</f>
        <v>1</v>
      </c>
      <c r="F748" s="16">
        <f>SUMIFS(orders!$M:$M,orders!$C:$C,A748)</f>
        <v>23.31</v>
      </c>
      <c r="G748" s="14" t="str">
        <f>INDEX(orders!$P:$P,MATCH(A748,orders!$C:$C,0))</f>
        <v>Yes</v>
      </c>
      <c r="H748" s="17">
        <f t="shared" si="68"/>
        <v>4</v>
      </c>
      <c r="I748" s="14">
        <f t="shared" si="69"/>
        <v>1</v>
      </c>
      <c r="J748">
        <f t="shared" si="70"/>
        <v>2</v>
      </c>
      <c r="K748" s="14">
        <f t="shared" si="71"/>
        <v>7</v>
      </c>
      <c r="L748" t="str">
        <f t="shared" si="72"/>
        <v>Standard One-Time Buyers</v>
      </c>
    </row>
    <row r="749" spans="1:12" x14ac:dyDescent="0.3">
      <c r="A749" s="12" t="s">
        <v>3873</v>
      </c>
      <c r="B749" s="14" t="str">
        <f>INDEX(orders!$F:$F,MATCH(A749,orders!$C:$C,0))</f>
        <v>Alisha Hulburt</v>
      </c>
      <c r="C749" s="15">
        <f>_xlfn.MAXIFS(orders!$B:$B,orders!$C:$C,A749)</f>
        <v>44321</v>
      </c>
      <c r="D749" s="14">
        <f t="shared" si="67"/>
        <v>472</v>
      </c>
      <c r="E749" s="14">
        <f>COUNTIFS(orders!$C:$C,A749)</f>
        <v>1</v>
      </c>
      <c r="F749" s="16">
        <f>SUMIFS(orders!$M:$M,orders!$C:$C,A749)</f>
        <v>11.94</v>
      </c>
      <c r="G749" s="14" t="str">
        <f>INDEX(orders!$P:$P,MATCH(A749,orders!$C:$C,0))</f>
        <v>Yes</v>
      </c>
      <c r="H749" s="17">
        <f t="shared" si="68"/>
        <v>4</v>
      </c>
      <c r="I749" s="14">
        <f t="shared" si="69"/>
        <v>1</v>
      </c>
      <c r="J749">
        <f t="shared" si="70"/>
        <v>1</v>
      </c>
      <c r="K749" s="14">
        <f t="shared" si="71"/>
        <v>6</v>
      </c>
      <c r="L749" t="str">
        <f t="shared" si="72"/>
        <v>Standard One-Time Buyers</v>
      </c>
    </row>
    <row r="750" spans="1:12" x14ac:dyDescent="0.3">
      <c r="A750" s="12" t="s">
        <v>2483</v>
      </c>
      <c r="B750" s="14" t="str">
        <f>INDEX(orders!$F:$F,MATCH(A750,orders!$C:$C,0))</f>
        <v>Maitilde Boxill</v>
      </c>
      <c r="C750" s="15">
        <f>_xlfn.MAXIFS(orders!$B:$B,orders!$C:$C,A750)</f>
        <v>43860</v>
      </c>
      <c r="D750" s="14">
        <f t="shared" si="67"/>
        <v>933</v>
      </c>
      <c r="E750" s="14">
        <f>COUNTIFS(orders!$C:$C,A750)</f>
        <v>1</v>
      </c>
      <c r="F750" s="16">
        <f>SUMIFS(orders!$M:$M,orders!$C:$C,A750)</f>
        <v>27</v>
      </c>
      <c r="G750" s="14" t="str">
        <f>INDEX(orders!$P:$P,MATCH(A750,orders!$C:$C,0))</f>
        <v>Yes</v>
      </c>
      <c r="H750" s="17">
        <f t="shared" si="68"/>
        <v>2</v>
      </c>
      <c r="I750" s="14">
        <f t="shared" si="69"/>
        <v>1</v>
      </c>
      <c r="J750">
        <f t="shared" si="70"/>
        <v>3</v>
      </c>
      <c r="K750" s="14">
        <f t="shared" si="71"/>
        <v>6</v>
      </c>
      <c r="L750" t="str">
        <f t="shared" si="72"/>
        <v>Lapsed One-Time Buyers</v>
      </c>
    </row>
    <row r="751" spans="1:12" x14ac:dyDescent="0.3">
      <c r="A751" s="12" t="s">
        <v>3623</v>
      </c>
      <c r="B751" s="14" t="str">
        <f>INDEX(orders!$F:$F,MATCH(A751,orders!$C:$C,0))</f>
        <v>Madelaine Sharples</v>
      </c>
      <c r="C751" s="15">
        <f>_xlfn.MAXIFS(orders!$B:$B,orders!$C:$C,A751)</f>
        <v>43737</v>
      </c>
      <c r="D751" s="14">
        <f t="shared" si="67"/>
        <v>1056</v>
      </c>
      <c r="E751" s="14">
        <f>COUNTIFS(orders!$C:$C,A751)</f>
        <v>1</v>
      </c>
      <c r="F751" s="16">
        <f>SUMIFS(orders!$M:$M,orders!$C:$C,A751)</f>
        <v>54.969999999999992</v>
      </c>
      <c r="G751" s="14" t="str">
        <f>INDEX(orders!$P:$P,MATCH(A751,orders!$C:$C,0))</f>
        <v>Yes</v>
      </c>
      <c r="H751" s="17">
        <f t="shared" si="68"/>
        <v>1</v>
      </c>
      <c r="I751" s="14">
        <f t="shared" si="69"/>
        <v>1</v>
      </c>
      <c r="J751">
        <f t="shared" si="70"/>
        <v>4</v>
      </c>
      <c r="K751" s="14">
        <f t="shared" si="71"/>
        <v>6</v>
      </c>
      <c r="L751" t="str">
        <f t="shared" si="72"/>
        <v>Lapsed One-Time Buyers</v>
      </c>
    </row>
    <row r="752" spans="1:12" x14ac:dyDescent="0.3">
      <c r="A752" s="12" t="s">
        <v>3392</v>
      </c>
      <c r="B752" s="14" t="str">
        <f>INDEX(orders!$F:$F,MATCH(A752,orders!$C:$C,0))</f>
        <v>Nataniel Helkin</v>
      </c>
      <c r="C752" s="15">
        <f>_xlfn.MAXIFS(orders!$B:$B,orders!$C:$C,A752)</f>
        <v>44691</v>
      </c>
      <c r="D752" s="14">
        <f t="shared" si="67"/>
        <v>102</v>
      </c>
      <c r="E752" s="14">
        <f>COUNTIFS(orders!$C:$C,A752)</f>
        <v>1</v>
      </c>
      <c r="F752" s="16">
        <f>SUMIFS(orders!$M:$M,orders!$C:$C,A752)</f>
        <v>79.25</v>
      </c>
      <c r="G752" s="14" t="str">
        <f>INDEX(orders!$P:$P,MATCH(A752,orders!$C:$C,0))</f>
        <v>No</v>
      </c>
      <c r="H752" s="17">
        <f t="shared" si="68"/>
        <v>5</v>
      </c>
      <c r="I752" s="14">
        <f t="shared" si="69"/>
        <v>1</v>
      </c>
      <c r="J752">
        <f t="shared" si="70"/>
        <v>5</v>
      </c>
      <c r="K752" s="14">
        <f t="shared" si="71"/>
        <v>11</v>
      </c>
      <c r="L752" t="str">
        <f t="shared" si="72"/>
        <v>Recent High-Value (One-Time)</v>
      </c>
    </row>
    <row r="753" spans="1:12" x14ac:dyDescent="0.3">
      <c r="A753" s="12" t="s">
        <v>2459</v>
      </c>
      <c r="B753" s="14" t="str">
        <f>INDEX(orders!$F:$F,MATCH(A753,orders!$C:$C,0))</f>
        <v>Dell Daveridge</v>
      </c>
      <c r="C753" s="15">
        <f>_xlfn.MAXIFS(orders!$B:$B,orders!$C:$C,A753)</f>
        <v>44743</v>
      </c>
      <c r="D753" s="14">
        <f t="shared" si="67"/>
        <v>50</v>
      </c>
      <c r="E753" s="14">
        <f>COUNTIFS(orders!$C:$C,A753)</f>
        <v>1</v>
      </c>
      <c r="F753" s="16">
        <f>SUMIFS(orders!$M:$M,orders!$C:$C,A753)</f>
        <v>14.339999999999998</v>
      </c>
      <c r="G753" s="14" t="str">
        <f>INDEX(orders!$P:$P,MATCH(A753,orders!$C:$C,0))</f>
        <v>No</v>
      </c>
      <c r="H753" s="17">
        <f t="shared" si="68"/>
        <v>5</v>
      </c>
      <c r="I753" s="14">
        <f t="shared" si="69"/>
        <v>1</v>
      </c>
      <c r="J753">
        <f t="shared" si="70"/>
        <v>2</v>
      </c>
      <c r="K753" s="14">
        <f t="shared" si="71"/>
        <v>8</v>
      </c>
      <c r="L753" t="str">
        <f t="shared" si="72"/>
        <v>Standard One-Time Buyers</v>
      </c>
    </row>
    <row r="754" spans="1:12" x14ac:dyDescent="0.3">
      <c r="A754" s="12" t="s">
        <v>1562</v>
      </c>
      <c r="B754" s="14" t="str">
        <f>INDEX(orders!$F:$F,MATCH(A754,orders!$C:$C,0))</f>
        <v>Madelene Prinn</v>
      </c>
      <c r="C754" s="15">
        <f>_xlfn.MAXIFS(orders!$B:$B,orders!$C:$C,A754)</f>
        <v>43845</v>
      </c>
      <c r="D754" s="14">
        <f t="shared" si="67"/>
        <v>948</v>
      </c>
      <c r="E754" s="14">
        <f>COUNTIFS(orders!$C:$C,A754)</f>
        <v>1</v>
      </c>
      <c r="F754" s="16">
        <f>SUMIFS(orders!$M:$M,orders!$C:$C,A754)</f>
        <v>33.464999999999996</v>
      </c>
      <c r="G754" s="14" t="str">
        <f>INDEX(orders!$P:$P,MATCH(A754,orders!$C:$C,0))</f>
        <v>Yes</v>
      </c>
      <c r="H754" s="17">
        <f t="shared" si="68"/>
        <v>2</v>
      </c>
      <c r="I754" s="14">
        <f t="shared" si="69"/>
        <v>1</v>
      </c>
      <c r="J754">
        <f t="shared" si="70"/>
        <v>3</v>
      </c>
      <c r="K754" s="14">
        <f t="shared" si="71"/>
        <v>6</v>
      </c>
      <c r="L754" t="str">
        <f t="shared" si="72"/>
        <v>Lapsed One-Time Buyers</v>
      </c>
    </row>
    <row r="755" spans="1:12" x14ac:dyDescent="0.3">
      <c r="A755" s="12" t="s">
        <v>2274</v>
      </c>
      <c r="B755" s="14" t="str">
        <f>INDEX(orders!$F:$F,MATCH(A755,orders!$C:$C,0))</f>
        <v>Nanny Lush</v>
      </c>
      <c r="C755" s="15">
        <f>_xlfn.MAXIFS(orders!$B:$B,orders!$C:$C,A755)</f>
        <v>43641</v>
      </c>
      <c r="D755" s="14">
        <f t="shared" si="67"/>
        <v>1152</v>
      </c>
      <c r="E755" s="14">
        <f>COUNTIFS(orders!$C:$C,A755)</f>
        <v>1</v>
      </c>
      <c r="F755" s="16">
        <f>SUMIFS(orders!$M:$M,orders!$C:$C,A755)</f>
        <v>204.92999999999995</v>
      </c>
      <c r="G755" s="14" t="str">
        <f>INDEX(orders!$P:$P,MATCH(A755,orders!$C:$C,0))</f>
        <v>No</v>
      </c>
      <c r="H755" s="17">
        <f t="shared" si="68"/>
        <v>1</v>
      </c>
      <c r="I755" s="14">
        <f t="shared" si="69"/>
        <v>1</v>
      </c>
      <c r="J755">
        <f t="shared" si="70"/>
        <v>5</v>
      </c>
      <c r="K755" s="14">
        <f t="shared" si="71"/>
        <v>7</v>
      </c>
      <c r="L755" t="str">
        <f t="shared" si="72"/>
        <v>Lapsed One-Time Buyers</v>
      </c>
    </row>
    <row r="756" spans="1:12" x14ac:dyDescent="0.3">
      <c r="A756" s="12" t="s">
        <v>5124</v>
      </c>
      <c r="B756" s="14" t="str">
        <f>INDEX(orders!$F:$F,MATCH(A756,orders!$C:$C,0))</f>
        <v>Eustace Stenton</v>
      </c>
      <c r="C756" s="15">
        <f>_xlfn.MAXIFS(orders!$B:$B,orders!$C:$C,A756)</f>
        <v>43510</v>
      </c>
      <c r="D756" s="14">
        <f t="shared" si="67"/>
        <v>1283</v>
      </c>
      <c r="E756" s="14">
        <f>COUNTIFS(orders!$C:$C,A756)</f>
        <v>1</v>
      </c>
      <c r="F756" s="16">
        <f>SUMIFS(orders!$M:$M,orders!$C:$C,A756)</f>
        <v>55</v>
      </c>
      <c r="G756" s="14" t="str">
        <f>INDEX(orders!$P:$P,MATCH(A756,orders!$C:$C,0))</f>
        <v>Yes</v>
      </c>
      <c r="H756" s="17">
        <f t="shared" si="68"/>
        <v>1</v>
      </c>
      <c r="I756" s="14">
        <f t="shared" si="69"/>
        <v>1</v>
      </c>
      <c r="J756">
        <f t="shared" si="70"/>
        <v>4</v>
      </c>
      <c r="K756" s="14">
        <f t="shared" si="71"/>
        <v>6</v>
      </c>
      <c r="L756" t="str">
        <f t="shared" si="72"/>
        <v>Lapsed One-Time Buyers</v>
      </c>
    </row>
    <row r="757" spans="1:12" x14ac:dyDescent="0.3">
      <c r="A757" s="12" t="s">
        <v>3500</v>
      </c>
      <c r="B757" s="14" t="str">
        <f>INDEX(orders!$F:$F,MATCH(A757,orders!$C:$C,0))</f>
        <v>Nannie Naseby</v>
      </c>
      <c r="C757" s="15">
        <f>_xlfn.MAXIFS(orders!$B:$B,orders!$C:$C,A757)</f>
        <v>44330</v>
      </c>
      <c r="D757" s="14">
        <f t="shared" si="67"/>
        <v>463</v>
      </c>
      <c r="E757" s="14">
        <f>COUNTIFS(orders!$C:$C,A757)</f>
        <v>1</v>
      </c>
      <c r="F757" s="16">
        <f>SUMIFS(orders!$M:$M,orders!$C:$C,A757)</f>
        <v>16.5</v>
      </c>
      <c r="G757" s="14" t="str">
        <f>INDEX(orders!$P:$P,MATCH(A757,orders!$C:$C,0))</f>
        <v>Yes</v>
      </c>
      <c r="H757" s="17">
        <f t="shared" si="68"/>
        <v>4</v>
      </c>
      <c r="I757" s="14">
        <f t="shared" si="69"/>
        <v>1</v>
      </c>
      <c r="J757">
        <f t="shared" si="70"/>
        <v>2</v>
      </c>
      <c r="K757" s="14">
        <f t="shared" si="71"/>
        <v>7</v>
      </c>
      <c r="L757" t="str">
        <f t="shared" si="72"/>
        <v>Standard One-Time Buyers</v>
      </c>
    </row>
    <row r="758" spans="1:12" x14ac:dyDescent="0.3">
      <c r="A758" s="12" t="s">
        <v>6077</v>
      </c>
      <c r="B758" s="14" t="str">
        <f>INDEX(orders!$F:$F,MATCH(A758,orders!$C:$C,0))</f>
        <v>Adele McFayden</v>
      </c>
      <c r="C758" s="15">
        <f>_xlfn.MAXIFS(orders!$B:$B,orders!$C:$C,A758)</f>
        <v>43897</v>
      </c>
      <c r="D758" s="14">
        <f t="shared" si="67"/>
        <v>896</v>
      </c>
      <c r="E758" s="14">
        <f>COUNTIFS(orders!$C:$C,A758)</f>
        <v>1</v>
      </c>
      <c r="F758" s="16">
        <f>SUMIFS(orders!$M:$M,orders!$C:$C,A758)</f>
        <v>29.849999999999998</v>
      </c>
      <c r="G758" s="14" t="str">
        <f>INDEX(orders!$P:$P,MATCH(A758,orders!$C:$C,0))</f>
        <v>Yes</v>
      </c>
      <c r="H758" s="17">
        <f t="shared" si="68"/>
        <v>2</v>
      </c>
      <c r="I758" s="14">
        <f t="shared" si="69"/>
        <v>1</v>
      </c>
      <c r="J758">
        <f t="shared" si="70"/>
        <v>3</v>
      </c>
      <c r="K758" s="14">
        <f t="shared" si="71"/>
        <v>6</v>
      </c>
      <c r="L758" t="str">
        <f t="shared" si="72"/>
        <v>Lapsed One-Time Buyers</v>
      </c>
    </row>
    <row r="759" spans="1:12" x14ac:dyDescent="0.3">
      <c r="A759" s="12" t="s">
        <v>2435</v>
      </c>
      <c r="B759" s="14" t="str">
        <f>INDEX(orders!$F:$F,MATCH(A759,orders!$C:$C,0))</f>
        <v>Ameline Snazle</v>
      </c>
      <c r="C759" s="15">
        <f>_xlfn.MAXIFS(orders!$B:$B,orders!$C:$C,A759)</f>
        <v>43849</v>
      </c>
      <c r="D759" s="14">
        <f t="shared" si="67"/>
        <v>944</v>
      </c>
      <c r="E759" s="14">
        <f>COUNTIFS(orders!$C:$C,A759)</f>
        <v>1</v>
      </c>
      <c r="F759" s="16">
        <f>SUMIFS(orders!$M:$M,orders!$C:$C,A759)</f>
        <v>59.75</v>
      </c>
      <c r="G759" s="14" t="str">
        <f>INDEX(orders!$P:$P,MATCH(A759,orders!$C:$C,0))</f>
        <v>No</v>
      </c>
      <c r="H759" s="17">
        <f t="shared" si="68"/>
        <v>2</v>
      </c>
      <c r="I759" s="14">
        <f t="shared" si="69"/>
        <v>1</v>
      </c>
      <c r="J759">
        <f t="shared" si="70"/>
        <v>4</v>
      </c>
      <c r="K759" s="14">
        <f t="shared" si="71"/>
        <v>7</v>
      </c>
      <c r="L759" t="str">
        <f t="shared" si="72"/>
        <v>Lapsed One-Time Buyers</v>
      </c>
    </row>
    <row r="760" spans="1:12" x14ac:dyDescent="0.3">
      <c r="A760" s="12" t="s">
        <v>4843</v>
      </c>
      <c r="B760" s="14" t="str">
        <f>INDEX(orders!$F:$F,MATCH(A760,orders!$C:$C,0))</f>
        <v>Martie Brimilcombe</v>
      </c>
      <c r="C760" s="15">
        <f>_xlfn.MAXIFS(orders!$B:$B,orders!$C:$C,A760)</f>
        <v>44092</v>
      </c>
      <c r="D760" s="14">
        <f t="shared" si="67"/>
        <v>701</v>
      </c>
      <c r="E760" s="14">
        <f>COUNTIFS(orders!$C:$C,A760)</f>
        <v>1</v>
      </c>
      <c r="F760" s="16">
        <f>SUMIFS(orders!$M:$M,orders!$C:$C,A760)</f>
        <v>9.9499999999999993</v>
      </c>
      <c r="G760" s="14" t="str">
        <f>INDEX(orders!$P:$P,MATCH(A760,orders!$C:$C,0))</f>
        <v>No</v>
      </c>
      <c r="H760" s="17">
        <f t="shared" si="68"/>
        <v>3</v>
      </c>
      <c r="I760" s="14">
        <f t="shared" si="69"/>
        <v>1</v>
      </c>
      <c r="J760">
        <f t="shared" si="70"/>
        <v>1</v>
      </c>
      <c r="K760" s="14">
        <f t="shared" si="71"/>
        <v>5</v>
      </c>
      <c r="L760" t="str">
        <f t="shared" si="72"/>
        <v>Standard One-Time Buyers</v>
      </c>
    </row>
    <row r="761" spans="1:12" x14ac:dyDescent="0.3">
      <c r="A761" s="12" t="s">
        <v>5945</v>
      </c>
      <c r="B761" s="14" t="str">
        <f>INDEX(orders!$F:$F,MATCH(A761,orders!$C:$C,0))</f>
        <v>Joey Jefferys</v>
      </c>
      <c r="C761" s="15">
        <f>_xlfn.MAXIFS(orders!$B:$B,orders!$C:$C,A761)</f>
        <v>43724</v>
      </c>
      <c r="D761" s="14">
        <f t="shared" si="67"/>
        <v>1069</v>
      </c>
      <c r="E761" s="14">
        <f>COUNTIFS(orders!$C:$C,A761)</f>
        <v>1</v>
      </c>
      <c r="F761" s="16">
        <f>SUMIFS(orders!$M:$M,orders!$C:$C,A761)</f>
        <v>29.849999999999998</v>
      </c>
      <c r="G761" s="14" t="str">
        <f>INDEX(orders!$P:$P,MATCH(A761,orders!$C:$C,0))</f>
        <v>Yes</v>
      </c>
      <c r="H761" s="17">
        <f t="shared" si="68"/>
        <v>1</v>
      </c>
      <c r="I761" s="14">
        <f t="shared" si="69"/>
        <v>1</v>
      </c>
      <c r="J761">
        <f t="shared" si="70"/>
        <v>3</v>
      </c>
      <c r="K761" s="14">
        <f t="shared" si="71"/>
        <v>5</v>
      </c>
      <c r="L761" t="str">
        <f t="shared" si="72"/>
        <v>Lapsed One-Time Buyers</v>
      </c>
    </row>
    <row r="762" spans="1:12" x14ac:dyDescent="0.3">
      <c r="A762" s="12" t="s">
        <v>1147</v>
      </c>
      <c r="B762" s="14" t="str">
        <f>INDEX(orders!$F:$F,MATCH(A762,orders!$C:$C,0))</f>
        <v>Brook Drage</v>
      </c>
      <c r="C762" s="15">
        <f>_xlfn.MAXIFS(orders!$B:$B,orders!$C:$C,A762)</f>
        <v>44656</v>
      </c>
      <c r="D762" s="14">
        <f t="shared" si="67"/>
        <v>137</v>
      </c>
      <c r="E762" s="14">
        <f>COUNTIFS(orders!$C:$C,A762)</f>
        <v>1</v>
      </c>
      <c r="F762" s="16">
        <f>SUMIFS(orders!$M:$M,orders!$C:$C,A762)</f>
        <v>38.04</v>
      </c>
      <c r="G762" s="14" t="str">
        <f>INDEX(orders!$P:$P,MATCH(A762,orders!$C:$C,0))</f>
        <v>No</v>
      </c>
      <c r="H762" s="17">
        <f t="shared" si="68"/>
        <v>5</v>
      </c>
      <c r="I762" s="14">
        <f t="shared" si="69"/>
        <v>1</v>
      </c>
      <c r="J762">
        <f t="shared" si="70"/>
        <v>3</v>
      </c>
      <c r="K762" s="14">
        <f t="shared" si="71"/>
        <v>9</v>
      </c>
      <c r="L762" t="str">
        <f t="shared" si="72"/>
        <v>Standard One-Time Buyers</v>
      </c>
    </row>
    <row r="763" spans="1:12" x14ac:dyDescent="0.3">
      <c r="A763" s="12" t="s">
        <v>2564</v>
      </c>
      <c r="B763" s="14" t="str">
        <f>INDEX(orders!$F:$F,MATCH(A763,orders!$C:$C,0))</f>
        <v>Leesa Flaonier</v>
      </c>
      <c r="C763" s="15">
        <f>_xlfn.MAXIFS(orders!$B:$B,orders!$C:$C,A763)</f>
        <v>44692</v>
      </c>
      <c r="D763" s="14">
        <f t="shared" si="67"/>
        <v>101</v>
      </c>
      <c r="E763" s="14">
        <f>COUNTIFS(orders!$C:$C,A763)</f>
        <v>1</v>
      </c>
      <c r="F763" s="16">
        <f>SUMIFS(orders!$M:$M,orders!$C:$C,A763)</f>
        <v>63.249999999999993</v>
      </c>
      <c r="G763" s="14" t="str">
        <f>INDEX(orders!$P:$P,MATCH(A763,orders!$C:$C,0))</f>
        <v>No</v>
      </c>
      <c r="H763" s="17">
        <f t="shared" si="68"/>
        <v>5</v>
      </c>
      <c r="I763" s="14">
        <f t="shared" si="69"/>
        <v>1</v>
      </c>
      <c r="J763">
        <f t="shared" si="70"/>
        <v>4</v>
      </c>
      <c r="K763" s="14">
        <f t="shared" si="71"/>
        <v>10</v>
      </c>
      <c r="L763" t="str">
        <f t="shared" si="72"/>
        <v>Recent High-Value (One-Time)</v>
      </c>
    </row>
    <row r="764" spans="1:12" x14ac:dyDescent="0.3">
      <c r="A764" s="12" t="s">
        <v>1846</v>
      </c>
      <c r="B764" s="14" t="str">
        <f>INDEX(orders!$F:$F,MATCH(A764,orders!$C:$C,0))</f>
        <v>Codi Littrell</v>
      </c>
      <c r="C764" s="15">
        <f>_xlfn.MAXIFS(orders!$B:$B,orders!$C:$C,A764)</f>
        <v>43993</v>
      </c>
      <c r="D764" s="14">
        <f t="shared" si="67"/>
        <v>800</v>
      </c>
      <c r="E764" s="14">
        <f>COUNTIFS(orders!$C:$C,A764)</f>
        <v>1</v>
      </c>
      <c r="F764" s="16">
        <f>SUMIFS(orders!$M:$M,orders!$C:$C,A764)</f>
        <v>155.24999999999997</v>
      </c>
      <c r="G764" s="14" t="str">
        <f>INDEX(orders!$P:$P,MATCH(A764,orders!$C:$C,0))</f>
        <v>Yes</v>
      </c>
      <c r="H764" s="17">
        <f t="shared" si="68"/>
        <v>2</v>
      </c>
      <c r="I764" s="14">
        <f t="shared" si="69"/>
        <v>1</v>
      </c>
      <c r="J764">
        <f t="shared" si="70"/>
        <v>5</v>
      </c>
      <c r="K764" s="14">
        <f t="shared" si="71"/>
        <v>8</v>
      </c>
      <c r="L764" t="str">
        <f t="shared" si="72"/>
        <v>Lapsed One-Time Buyers</v>
      </c>
    </row>
    <row r="765" spans="1:12" x14ac:dyDescent="0.3">
      <c r="A765" s="12" t="s">
        <v>5990</v>
      </c>
      <c r="B765" s="14" t="str">
        <f>INDEX(orders!$F:$F,MATCH(A765,orders!$C:$C,0))</f>
        <v>Charlean Keave</v>
      </c>
      <c r="C765" s="15">
        <f>_xlfn.MAXIFS(orders!$B:$B,orders!$C:$C,A765)</f>
        <v>44493</v>
      </c>
      <c r="D765" s="14">
        <f t="shared" si="67"/>
        <v>300</v>
      </c>
      <c r="E765" s="14">
        <f>COUNTIFS(orders!$C:$C,A765)</f>
        <v>2</v>
      </c>
      <c r="F765" s="16">
        <f>SUMIFS(orders!$M:$M,orders!$C:$C,A765)</f>
        <v>110.61000000000001</v>
      </c>
      <c r="G765" s="14" t="str">
        <f>INDEX(orders!$P:$P,MATCH(A765,orders!$C:$C,0))</f>
        <v>No</v>
      </c>
      <c r="H765" s="17">
        <f t="shared" si="68"/>
        <v>4</v>
      </c>
      <c r="I765" s="14">
        <f t="shared" si="69"/>
        <v>3</v>
      </c>
      <c r="J765">
        <f t="shared" si="70"/>
        <v>5</v>
      </c>
      <c r="K765" s="14">
        <f t="shared" si="71"/>
        <v>12</v>
      </c>
      <c r="L765" t="str">
        <f t="shared" si="72"/>
        <v>Loyal Repeat Customers</v>
      </c>
    </row>
    <row r="766" spans="1:12" x14ac:dyDescent="0.3">
      <c r="A766" s="12" t="s">
        <v>5440</v>
      </c>
      <c r="B766" s="14" t="str">
        <f>INDEX(orders!$F:$F,MATCH(A766,orders!$C:$C,0))</f>
        <v>Orazio Comber</v>
      </c>
      <c r="C766" s="15">
        <f>_xlfn.MAXIFS(orders!$B:$B,orders!$C:$C,A766)</f>
        <v>44253</v>
      </c>
      <c r="D766" s="14">
        <f t="shared" si="67"/>
        <v>540</v>
      </c>
      <c r="E766" s="14">
        <f>COUNTIFS(orders!$C:$C,A766)</f>
        <v>2</v>
      </c>
      <c r="F766" s="16">
        <f>SUMIFS(orders!$M:$M,orders!$C:$C,A766)</f>
        <v>90.27000000000001</v>
      </c>
      <c r="G766" s="14" t="str">
        <f>INDEX(orders!$P:$P,MATCH(A766,orders!$C:$C,0))</f>
        <v>No</v>
      </c>
      <c r="H766" s="17">
        <f t="shared" si="68"/>
        <v>3</v>
      </c>
      <c r="I766" s="14">
        <f t="shared" si="69"/>
        <v>3</v>
      </c>
      <c r="J766">
        <f t="shared" si="70"/>
        <v>5</v>
      </c>
      <c r="K766" s="14">
        <f t="shared" si="71"/>
        <v>11</v>
      </c>
      <c r="L766" t="str">
        <f t="shared" si="72"/>
        <v>At-Risk Repeat Customers</v>
      </c>
    </row>
    <row r="767" spans="1:12" x14ac:dyDescent="0.3">
      <c r="A767" s="12" t="s">
        <v>5108</v>
      </c>
      <c r="B767" s="14" t="str">
        <f>INDEX(orders!$F:$F,MATCH(A767,orders!$C:$C,0))</f>
        <v>Bayard Wellan</v>
      </c>
      <c r="C767" s="15">
        <f>_xlfn.MAXIFS(orders!$B:$B,orders!$C:$C,A767)</f>
        <v>43798</v>
      </c>
      <c r="D767" s="14">
        <f t="shared" si="67"/>
        <v>995</v>
      </c>
      <c r="E767" s="14">
        <f>COUNTIFS(orders!$C:$C,A767)</f>
        <v>1</v>
      </c>
      <c r="F767" s="16">
        <f>SUMIFS(orders!$M:$M,orders!$C:$C,A767)</f>
        <v>15.54</v>
      </c>
      <c r="G767" s="14" t="str">
        <f>INDEX(orders!$P:$P,MATCH(A767,orders!$C:$C,0))</f>
        <v>No</v>
      </c>
      <c r="H767" s="17">
        <f t="shared" si="68"/>
        <v>2</v>
      </c>
      <c r="I767" s="14">
        <f t="shared" si="69"/>
        <v>1</v>
      </c>
      <c r="J767">
        <f t="shared" si="70"/>
        <v>2</v>
      </c>
      <c r="K767" s="14">
        <f t="shared" si="71"/>
        <v>5</v>
      </c>
      <c r="L767" t="str">
        <f t="shared" si="72"/>
        <v>Lapsed One-Time Buyers</v>
      </c>
    </row>
    <row r="768" spans="1:12" x14ac:dyDescent="0.3">
      <c r="A768" s="12" t="s">
        <v>2239</v>
      </c>
      <c r="B768" s="14" t="str">
        <f>INDEX(orders!$F:$F,MATCH(A768,orders!$C:$C,0))</f>
        <v>Paola Brydell</v>
      </c>
      <c r="C768" s="15">
        <f>_xlfn.MAXIFS(orders!$B:$B,orders!$C:$C,A768)</f>
        <v>44586</v>
      </c>
      <c r="D768" s="14">
        <f t="shared" si="67"/>
        <v>207</v>
      </c>
      <c r="E768" s="14">
        <f>COUNTIFS(orders!$C:$C,A768)</f>
        <v>1</v>
      </c>
      <c r="F768" s="16">
        <f>SUMIFS(orders!$M:$M,orders!$C:$C,A768)</f>
        <v>14.85</v>
      </c>
      <c r="G768" s="14" t="str">
        <f>INDEX(orders!$P:$P,MATCH(A768,orders!$C:$C,0))</f>
        <v>No</v>
      </c>
      <c r="H768" s="17">
        <f t="shared" si="68"/>
        <v>5</v>
      </c>
      <c r="I768" s="14">
        <f t="shared" si="69"/>
        <v>1</v>
      </c>
      <c r="J768">
        <f t="shared" si="70"/>
        <v>2</v>
      </c>
      <c r="K768" s="14">
        <f t="shared" si="71"/>
        <v>8</v>
      </c>
      <c r="L768" t="str">
        <f t="shared" si="72"/>
        <v>Standard One-Time Buyers</v>
      </c>
    </row>
    <row r="769" spans="1:12" x14ac:dyDescent="0.3">
      <c r="A769" s="12" t="s">
        <v>1678</v>
      </c>
      <c r="B769" s="14" t="str">
        <f>INDEX(orders!$F:$F,MATCH(A769,orders!$C:$C,0))</f>
        <v>Minette Whellans</v>
      </c>
      <c r="C769" s="15">
        <f>_xlfn.MAXIFS(orders!$B:$B,orders!$C:$C,A769)</f>
        <v>44283</v>
      </c>
      <c r="D769" s="14">
        <f t="shared" si="67"/>
        <v>510</v>
      </c>
      <c r="E769" s="14">
        <f>COUNTIFS(orders!$C:$C,A769)</f>
        <v>1</v>
      </c>
      <c r="F769" s="16">
        <f>SUMIFS(orders!$M:$M,orders!$C:$C,A769)</f>
        <v>53.46</v>
      </c>
      <c r="G769" s="14" t="str">
        <f>INDEX(orders!$P:$P,MATCH(A769,orders!$C:$C,0))</f>
        <v>No</v>
      </c>
      <c r="H769" s="17">
        <f t="shared" si="68"/>
        <v>3</v>
      </c>
      <c r="I769" s="14">
        <f t="shared" si="69"/>
        <v>1</v>
      </c>
      <c r="J769">
        <f t="shared" si="70"/>
        <v>4</v>
      </c>
      <c r="K769" s="14">
        <f t="shared" si="71"/>
        <v>8</v>
      </c>
      <c r="L769" t="str">
        <f t="shared" si="72"/>
        <v>Standard One-Time Buyers</v>
      </c>
    </row>
    <row r="770" spans="1:12" x14ac:dyDescent="0.3">
      <c r="A770" s="12" t="s">
        <v>1790</v>
      </c>
      <c r="B770" s="14" t="str">
        <f>INDEX(orders!$F:$F,MATCH(A770,orders!$C:$C,0))</f>
        <v>Portie Cutchie</v>
      </c>
      <c r="C770" s="15">
        <f>_xlfn.MAXIFS(orders!$B:$B,orders!$C:$C,A770)</f>
        <v>44496</v>
      </c>
      <c r="D770" s="14">
        <f t="shared" si="67"/>
        <v>297</v>
      </c>
      <c r="E770" s="14">
        <f>COUNTIFS(orders!$C:$C,A770)</f>
        <v>1</v>
      </c>
      <c r="F770" s="16">
        <f>SUMIFS(orders!$M:$M,orders!$C:$C,A770)</f>
        <v>51.749999999999993</v>
      </c>
      <c r="G770" s="14" t="str">
        <f>INDEX(orders!$P:$P,MATCH(A770,orders!$C:$C,0))</f>
        <v>No</v>
      </c>
      <c r="H770" s="17">
        <f t="shared" si="68"/>
        <v>4</v>
      </c>
      <c r="I770" s="14">
        <f t="shared" si="69"/>
        <v>1</v>
      </c>
      <c r="J770">
        <f t="shared" si="70"/>
        <v>4</v>
      </c>
      <c r="K770" s="14">
        <f t="shared" si="71"/>
        <v>9</v>
      </c>
      <c r="L770" t="str">
        <f t="shared" si="72"/>
        <v>Recent High-Value (One-Time)</v>
      </c>
    </row>
    <row r="771" spans="1:12" x14ac:dyDescent="0.3">
      <c r="A771" s="12" t="s">
        <v>1907</v>
      </c>
      <c r="B771" s="14" t="str">
        <f>INDEX(orders!$F:$F,MATCH(A771,orders!$C:$C,0))</f>
        <v>Connor Heaviside</v>
      </c>
      <c r="C771" s="15">
        <f>_xlfn.MAXIFS(orders!$B:$B,orders!$C:$C,A771)</f>
        <v>44360</v>
      </c>
      <c r="D771" s="14">
        <f t="shared" si="67"/>
        <v>433</v>
      </c>
      <c r="E771" s="14">
        <f>COUNTIFS(orders!$C:$C,A771)</f>
        <v>1</v>
      </c>
      <c r="F771" s="16">
        <f>SUMIFS(orders!$M:$M,orders!$C:$C,A771)</f>
        <v>68.75</v>
      </c>
      <c r="G771" s="14" t="str">
        <f>INDEX(orders!$P:$P,MATCH(A771,orders!$C:$C,0))</f>
        <v>Yes</v>
      </c>
      <c r="H771" s="17">
        <f t="shared" si="68"/>
        <v>4</v>
      </c>
      <c r="I771" s="14">
        <f t="shared" si="69"/>
        <v>1</v>
      </c>
      <c r="J771">
        <f t="shared" si="70"/>
        <v>4</v>
      </c>
      <c r="K771" s="14">
        <f t="shared" si="71"/>
        <v>9</v>
      </c>
      <c r="L771" t="str">
        <f t="shared" si="72"/>
        <v>Recent High-Value (One-Time)</v>
      </c>
    </row>
    <row r="772" spans="1:12" x14ac:dyDescent="0.3">
      <c r="A772" s="12" t="s">
        <v>6071</v>
      </c>
      <c r="B772" s="14" t="str">
        <f>INDEX(orders!$F:$F,MATCH(A772,orders!$C:$C,0))</f>
        <v>Lorianne Kyneton</v>
      </c>
      <c r="C772" s="15">
        <f>_xlfn.MAXIFS(orders!$B:$B,orders!$C:$C,A772)</f>
        <v>44247</v>
      </c>
      <c r="D772" s="14">
        <f t="shared" si="67"/>
        <v>546</v>
      </c>
      <c r="E772" s="14">
        <f>COUNTIFS(orders!$C:$C,A772)</f>
        <v>1</v>
      </c>
      <c r="F772" s="16">
        <f>SUMIFS(orders!$M:$M,orders!$C:$C,A772)</f>
        <v>29.849999999999998</v>
      </c>
      <c r="G772" s="14" t="str">
        <f>INDEX(orders!$P:$P,MATCH(A772,orders!$C:$C,0))</f>
        <v>Yes</v>
      </c>
      <c r="H772" s="17">
        <f t="shared" si="68"/>
        <v>3</v>
      </c>
      <c r="I772" s="14">
        <f t="shared" si="69"/>
        <v>1</v>
      </c>
      <c r="J772">
        <f t="shared" si="70"/>
        <v>3</v>
      </c>
      <c r="K772" s="14">
        <f t="shared" si="71"/>
        <v>7</v>
      </c>
      <c r="L772" t="str">
        <f t="shared" si="72"/>
        <v>Standard One-Time Buyers</v>
      </c>
    </row>
    <row r="773" spans="1:12" x14ac:dyDescent="0.3">
      <c r="A773" s="12" t="s">
        <v>3419</v>
      </c>
      <c r="B773" s="14" t="str">
        <f>INDEX(orders!$F:$F,MATCH(A773,orders!$C:$C,0))</f>
        <v>Karl Imorts</v>
      </c>
      <c r="C773" s="15">
        <f>_xlfn.MAXIFS(orders!$B:$B,orders!$C:$C,A773)</f>
        <v>44194</v>
      </c>
      <c r="D773" s="14">
        <f t="shared" si="67"/>
        <v>599</v>
      </c>
      <c r="E773" s="14">
        <f>COUNTIFS(orders!$C:$C,A773)</f>
        <v>1</v>
      </c>
      <c r="F773" s="16">
        <f>SUMIFS(orders!$M:$M,orders!$C:$C,A773)</f>
        <v>139.72499999999999</v>
      </c>
      <c r="G773" s="14" t="str">
        <f>INDEX(orders!$P:$P,MATCH(A773,orders!$C:$C,0))</f>
        <v>No</v>
      </c>
      <c r="H773" s="17">
        <f t="shared" si="68"/>
        <v>3</v>
      </c>
      <c r="I773" s="14">
        <f t="shared" si="69"/>
        <v>1</v>
      </c>
      <c r="J773">
        <f t="shared" si="70"/>
        <v>5</v>
      </c>
      <c r="K773" s="14">
        <f t="shared" si="71"/>
        <v>9</v>
      </c>
      <c r="L773" t="str">
        <f t="shared" si="72"/>
        <v>Standard One-Time Buyers</v>
      </c>
    </row>
    <row r="774" spans="1:12" x14ac:dyDescent="0.3">
      <c r="A774" s="12" t="s">
        <v>3757</v>
      </c>
      <c r="B774" s="14" t="str">
        <f>INDEX(orders!$F:$F,MATCH(A774,orders!$C:$C,0))</f>
        <v>Tymon Zanetti</v>
      </c>
      <c r="C774" s="15">
        <f>_xlfn.MAXIFS(orders!$B:$B,orders!$C:$C,A774)</f>
        <v>44720</v>
      </c>
      <c r="D774" s="14">
        <f t="shared" ref="D774:D837" si="73">$B$1-C774</f>
        <v>73</v>
      </c>
      <c r="E774" s="14">
        <f>COUNTIFS(orders!$C:$C,A774)</f>
        <v>2</v>
      </c>
      <c r="F774" s="16">
        <f>SUMIFS(orders!$M:$M,orders!$C:$C,A774)</f>
        <v>47.115000000000002</v>
      </c>
      <c r="G774" s="14" t="str">
        <f>INDEX(orders!$P:$P,MATCH(A774,orders!$C:$C,0))</f>
        <v>No</v>
      </c>
      <c r="H774" s="17">
        <f t="shared" ref="H774:H837" si="74">IF(D774&lt;=$E$1,5,IF(D774&lt;=$F$1,4,IF(D774&lt;=$G$1,3,IF(D774&lt;=$H$1,2,1))))</f>
        <v>5</v>
      </c>
      <c r="I774" s="14">
        <f t="shared" ref="I774:I837" si="75">IF(E774&lt;=1,1,IF(E774&lt;=2,3,5))</f>
        <v>3</v>
      </c>
      <c r="J774">
        <f t="shared" ref="J774:J837" si="76">IF(F774&lt;=PERCENTILE($F$5:$F$917,0.2),1,IF(F774&lt;=PERCENTILE($F$5:$F$917,0.4),2,IF(F774&lt;=PERCENTILE($F$5:$F$917,0.6),3,IF(F774&lt;=PERCENTILE($F$5:$F$917,0.8),4,5))))</f>
        <v>4</v>
      </c>
      <c r="K774" s="14">
        <f t="shared" ref="K774:K837" si="77">H774+I774+J774</f>
        <v>12</v>
      </c>
      <c r="L774" t="str">
        <f t="shared" ref="L774:L837" si="78">IF(AND(E774&gt;=2,H774&gt;=4),"Loyal Repeat Customers",IF(E774&gt;=2,"At-Risk Repeat Customers",IF(AND(H774&gt;=4,J774&gt;=4),"Recent High-Value (One-Time)",IF(H774&lt;=2,"Lapsed One-Time Buyers","Standard One-Time Buyers"))))</f>
        <v>Loyal Repeat Customers</v>
      </c>
    </row>
    <row r="775" spans="1:12" x14ac:dyDescent="0.3">
      <c r="A775" s="12" t="s">
        <v>4320</v>
      </c>
      <c r="B775" s="14" t="str">
        <f>INDEX(orders!$F:$F,MATCH(A775,orders!$C:$C,0))</f>
        <v>Milty Middis</v>
      </c>
      <c r="C775" s="15">
        <f>_xlfn.MAXIFS(orders!$B:$B,orders!$C:$C,A775)</f>
        <v>44281</v>
      </c>
      <c r="D775" s="14">
        <f t="shared" si="73"/>
        <v>512</v>
      </c>
      <c r="E775" s="14">
        <f>COUNTIFS(orders!$C:$C,A775)</f>
        <v>1</v>
      </c>
      <c r="F775" s="16">
        <f>SUMIFS(orders!$M:$M,orders!$C:$C,A775)</f>
        <v>178.70999999999998</v>
      </c>
      <c r="G775" s="14" t="str">
        <f>INDEX(orders!$P:$P,MATCH(A775,orders!$C:$C,0))</f>
        <v>Yes</v>
      </c>
      <c r="H775" s="17">
        <f t="shared" si="74"/>
        <v>3</v>
      </c>
      <c r="I775" s="14">
        <f t="shared" si="75"/>
        <v>1</v>
      </c>
      <c r="J775">
        <f t="shared" si="76"/>
        <v>5</v>
      </c>
      <c r="K775" s="14">
        <f t="shared" si="77"/>
        <v>9</v>
      </c>
      <c r="L775" t="str">
        <f t="shared" si="78"/>
        <v>Standard One-Time Buyers</v>
      </c>
    </row>
    <row r="776" spans="1:12" x14ac:dyDescent="0.3">
      <c r="A776" s="12" t="s">
        <v>4615</v>
      </c>
      <c r="B776" s="14" t="str">
        <f>INDEX(orders!$F:$F,MATCH(A776,orders!$C:$C,0))</f>
        <v>Andie Rudram</v>
      </c>
      <c r="C776" s="15">
        <f>_xlfn.MAXIFS(orders!$B:$B,orders!$C:$C,A776)</f>
        <v>43475</v>
      </c>
      <c r="D776" s="14">
        <f t="shared" si="73"/>
        <v>1318</v>
      </c>
      <c r="E776" s="14">
        <f>COUNTIFS(orders!$C:$C,A776)</f>
        <v>1</v>
      </c>
      <c r="F776" s="16">
        <f>SUMIFS(orders!$M:$M,orders!$C:$C,A776)</f>
        <v>36.454999999999998</v>
      </c>
      <c r="G776" s="14" t="str">
        <f>INDEX(orders!$P:$P,MATCH(A776,orders!$C:$C,0))</f>
        <v>No</v>
      </c>
      <c r="H776" s="17">
        <f t="shared" si="74"/>
        <v>1</v>
      </c>
      <c r="I776" s="14">
        <f t="shared" si="75"/>
        <v>1</v>
      </c>
      <c r="J776">
        <f t="shared" si="76"/>
        <v>3</v>
      </c>
      <c r="K776" s="14">
        <f t="shared" si="77"/>
        <v>5</v>
      </c>
      <c r="L776" t="str">
        <f t="shared" si="78"/>
        <v>Lapsed One-Time Buyers</v>
      </c>
    </row>
    <row r="777" spans="1:12" x14ac:dyDescent="0.3">
      <c r="A777" s="12" t="s">
        <v>5520</v>
      </c>
      <c r="B777" s="14" t="str">
        <f>INDEX(orders!$F:$F,MATCH(A777,orders!$C:$C,0))</f>
        <v>Scarlett Oliffe</v>
      </c>
      <c r="C777" s="15">
        <f>_xlfn.MAXIFS(orders!$B:$B,orders!$C:$C,A777)</f>
        <v>43633</v>
      </c>
      <c r="D777" s="14">
        <f t="shared" si="73"/>
        <v>1160</v>
      </c>
      <c r="E777" s="14">
        <f>COUNTIFS(orders!$C:$C,A777)</f>
        <v>1</v>
      </c>
      <c r="F777" s="16">
        <f>SUMIFS(orders!$M:$M,orders!$C:$C,A777)</f>
        <v>2.6849999999999996</v>
      </c>
      <c r="G777" s="14" t="str">
        <f>INDEX(orders!$P:$P,MATCH(A777,orders!$C:$C,0))</f>
        <v>Yes</v>
      </c>
      <c r="H777" s="17">
        <f t="shared" si="74"/>
        <v>1</v>
      </c>
      <c r="I777" s="14">
        <f t="shared" si="75"/>
        <v>1</v>
      </c>
      <c r="J777">
        <f t="shared" si="76"/>
        <v>1</v>
      </c>
      <c r="K777" s="14">
        <f t="shared" si="77"/>
        <v>3</v>
      </c>
      <c r="L777" t="str">
        <f t="shared" si="78"/>
        <v>Lapsed One-Time Buyers</v>
      </c>
    </row>
    <row r="778" spans="1:12" x14ac:dyDescent="0.3">
      <c r="A778" s="12" t="s">
        <v>1660</v>
      </c>
      <c r="B778" s="14" t="str">
        <f>INDEX(orders!$F:$F,MATCH(A778,orders!$C:$C,0))</f>
        <v>Constance Halfhide</v>
      </c>
      <c r="C778" s="15">
        <f>_xlfn.MAXIFS(orders!$B:$B,orders!$C:$C,A778)</f>
        <v>44659</v>
      </c>
      <c r="D778" s="14">
        <f t="shared" si="73"/>
        <v>134</v>
      </c>
      <c r="E778" s="14">
        <f>COUNTIFS(orders!$C:$C,A778)</f>
        <v>1</v>
      </c>
      <c r="F778" s="16">
        <f>SUMIFS(orders!$M:$M,orders!$C:$C,A778)</f>
        <v>29.16</v>
      </c>
      <c r="G778" s="14" t="str">
        <f>INDEX(orders!$P:$P,MATCH(A778,orders!$C:$C,0))</f>
        <v>Yes</v>
      </c>
      <c r="H778" s="17">
        <f t="shared" si="74"/>
        <v>5</v>
      </c>
      <c r="I778" s="14">
        <f t="shared" si="75"/>
        <v>1</v>
      </c>
      <c r="J778">
        <f t="shared" si="76"/>
        <v>3</v>
      </c>
      <c r="K778" s="14">
        <f t="shared" si="77"/>
        <v>9</v>
      </c>
      <c r="L778" t="str">
        <f t="shared" si="78"/>
        <v>Standard One-Time Buyers</v>
      </c>
    </row>
    <row r="779" spans="1:12" x14ac:dyDescent="0.3">
      <c r="A779" s="12" t="s">
        <v>751</v>
      </c>
      <c r="B779" s="14" t="str">
        <f>INDEX(orders!$F:$F,MATCH(A779,orders!$C:$C,0))</f>
        <v>Donna Baskeyfied</v>
      </c>
      <c r="C779" s="15">
        <f>_xlfn.MAXIFS(orders!$B:$B,orders!$C:$C,A779)</f>
        <v>43776</v>
      </c>
      <c r="D779" s="14">
        <f t="shared" si="73"/>
        <v>1017</v>
      </c>
      <c r="E779" s="14">
        <f>COUNTIFS(orders!$C:$C,A779)</f>
        <v>1</v>
      </c>
      <c r="F779" s="16">
        <f>SUMIFS(orders!$M:$M,orders!$C:$C,A779)</f>
        <v>63.249999999999993</v>
      </c>
      <c r="G779" s="14" t="str">
        <f>INDEX(orders!$P:$P,MATCH(A779,orders!$C:$C,0))</f>
        <v>Yes</v>
      </c>
      <c r="H779" s="17">
        <f t="shared" si="74"/>
        <v>2</v>
      </c>
      <c r="I779" s="14">
        <f t="shared" si="75"/>
        <v>1</v>
      </c>
      <c r="J779">
        <f t="shared" si="76"/>
        <v>4</v>
      </c>
      <c r="K779" s="14">
        <f t="shared" si="77"/>
        <v>7</v>
      </c>
      <c r="L779" t="str">
        <f t="shared" si="78"/>
        <v>Lapsed One-Time Buyers</v>
      </c>
    </row>
    <row r="780" spans="1:12" x14ac:dyDescent="0.3">
      <c r="A780" s="12" t="s">
        <v>4116</v>
      </c>
      <c r="B780" s="14" t="str">
        <f>INDEX(orders!$F:$F,MATCH(A780,orders!$C:$C,0))</f>
        <v>Maggy Baistow</v>
      </c>
      <c r="C780" s="15">
        <f>_xlfn.MAXIFS(orders!$B:$B,orders!$C:$C,A780)</f>
        <v>43880</v>
      </c>
      <c r="D780" s="14">
        <f t="shared" si="73"/>
        <v>913</v>
      </c>
      <c r="E780" s="14">
        <f>COUNTIFS(orders!$C:$C,A780)</f>
        <v>1</v>
      </c>
      <c r="F780" s="16">
        <f>SUMIFS(orders!$M:$M,orders!$C:$C,A780)</f>
        <v>8.25</v>
      </c>
      <c r="G780" s="14" t="str">
        <f>INDEX(orders!$P:$P,MATCH(A780,orders!$C:$C,0))</f>
        <v>Yes</v>
      </c>
      <c r="H780" s="17">
        <f t="shared" si="74"/>
        <v>2</v>
      </c>
      <c r="I780" s="14">
        <f t="shared" si="75"/>
        <v>1</v>
      </c>
      <c r="J780">
        <f t="shared" si="76"/>
        <v>1</v>
      </c>
      <c r="K780" s="14">
        <f t="shared" si="77"/>
        <v>4</v>
      </c>
      <c r="L780" t="str">
        <f t="shared" si="78"/>
        <v>Lapsed One-Time Buyers</v>
      </c>
    </row>
    <row r="781" spans="1:12" x14ac:dyDescent="0.3">
      <c r="A781" s="12" t="s">
        <v>1515</v>
      </c>
      <c r="B781" s="14" t="str">
        <f>INDEX(orders!$F:$F,MATCH(A781,orders!$C:$C,0))</f>
        <v>Anny Mundford</v>
      </c>
      <c r="C781" s="15">
        <f>_xlfn.MAXIFS(orders!$B:$B,orders!$C:$C,A781)</f>
        <v>44284</v>
      </c>
      <c r="D781" s="14">
        <f t="shared" si="73"/>
        <v>509</v>
      </c>
      <c r="E781" s="14">
        <f>COUNTIFS(orders!$C:$C,A781)</f>
        <v>1</v>
      </c>
      <c r="F781" s="16">
        <f>SUMIFS(orders!$M:$M,orders!$C:$C,A781)</f>
        <v>32.22</v>
      </c>
      <c r="G781" s="14" t="str">
        <f>INDEX(orders!$P:$P,MATCH(A781,orders!$C:$C,0))</f>
        <v>No</v>
      </c>
      <c r="H781" s="17">
        <f t="shared" si="74"/>
        <v>4</v>
      </c>
      <c r="I781" s="14">
        <f t="shared" si="75"/>
        <v>1</v>
      </c>
      <c r="J781">
        <f t="shared" si="76"/>
        <v>3</v>
      </c>
      <c r="K781" s="14">
        <f t="shared" si="77"/>
        <v>8</v>
      </c>
      <c r="L781" t="str">
        <f t="shared" si="78"/>
        <v>Standard One-Time Buyers</v>
      </c>
    </row>
    <row r="782" spans="1:12" x14ac:dyDescent="0.3">
      <c r="A782" s="12" t="s">
        <v>5375</v>
      </c>
      <c r="B782" s="14" t="str">
        <f>INDEX(orders!$F:$F,MATCH(A782,orders!$C:$C,0))</f>
        <v>Ronda Pyson</v>
      </c>
      <c r="C782" s="15">
        <f>_xlfn.MAXIFS(orders!$B:$B,orders!$C:$C,A782)</f>
        <v>43759</v>
      </c>
      <c r="D782" s="14">
        <f t="shared" si="73"/>
        <v>1034</v>
      </c>
      <c r="E782" s="14">
        <f>COUNTIFS(orders!$C:$C,A782)</f>
        <v>1</v>
      </c>
      <c r="F782" s="16">
        <f>SUMIFS(orders!$M:$M,orders!$C:$C,A782)</f>
        <v>21.509999999999998</v>
      </c>
      <c r="G782" s="14" t="str">
        <f>INDEX(orders!$P:$P,MATCH(A782,orders!$C:$C,0))</f>
        <v>No</v>
      </c>
      <c r="H782" s="17">
        <f t="shared" si="74"/>
        <v>2</v>
      </c>
      <c r="I782" s="14">
        <f t="shared" si="75"/>
        <v>1</v>
      </c>
      <c r="J782">
        <f t="shared" si="76"/>
        <v>2</v>
      </c>
      <c r="K782" s="14">
        <f t="shared" si="77"/>
        <v>5</v>
      </c>
      <c r="L782" t="str">
        <f t="shared" si="78"/>
        <v>Lapsed One-Time Buyers</v>
      </c>
    </row>
    <row r="783" spans="1:12" x14ac:dyDescent="0.3">
      <c r="A783" s="12" t="s">
        <v>2505</v>
      </c>
      <c r="B783" s="14" t="str">
        <f>INDEX(orders!$F:$F,MATCH(A783,orders!$C:$C,0))</f>
        <v>Enriqueta Ixor</v>
      </c>
      <c r="C783" s="15">
        <f>_xlfn.MAXIFS(orders!$B:$B,orders!$C:$C,A783)</f>
        <v>44448</v>
      </c>
      <c r="D783" s="14">
        <f t="shared" si="73"/>
        <v>345</v>
      </c>
      <c r="E783" s="14">
        <f>COUNTIFS(orders!$C:$C,A783)</f>
        <v>1</v>
      </c>
      <c r="F783" s="16">
        <f>SUMIFS(orders!$M:$M,orders!$C:$C,A783)</f>
        <v>155.24999999999997</v>
      </c>
      <c r="G783" s="14" t="str">
        <f>INDEX(orders!$P:$P,MATCH(A783,orders!$C:$C,0))</f>
        <v>No</v>
      </c>
      <c r="H783" s="17">
        <f t="shared" si="74"/>
        <v>4</v>
      </c>
      <c r="I783" s="14">
        <f t="shared" si="75"/>
        <v>1</v>
      </c>
      <c r="J783">
        <f t="shared" si="76"/>
        <v>5</v>
      </c>
      <c r="K783" s="14">
        <f t="shared" si="77"/>
        <v>10</v>
      </c>
      <c r="L783" t="str">
        <f t="shared" si="78"/>
        <v>Recent High-Value (One-Time)</v>
      </c>
    </row>
    <row r="784" spans="1:12" x14ac:dyDescent="0.3">
      <c r="A784" s="12" t="s">
        <v>4992</v>
      </c>
      <c r="B784" s="14" t="str">
        <f>INDEX(orders!$F:$F,MATCH(A784,orders!$C:$C,0))</f>
        <v>Merell Zanazzi</v>
      </c>
      <c r="C784" s="15">
        <f>_xlfn.MAXIFS(orders!$B:$B,orders!$C:$C,A784)</f>
        <v>44533</v>
      </c>
      <c r="D784" s="14">
        <f t="shared" si="73"/>
        <v>260</v>
      </c>
      <c r="E784" s="14">
        <f>COUNTIFS(orders!$C:$C,A784)</f>
        <v>1</v>
      </c>
      <c r="F784" s="16">
        <f>SUMIFS(orders!$M:$M,orders!$C:$C,A784)</f>
        <v>9.51</v>
      </c>
      <c r="G784" s="14" t="str">
        <f>INDEX(orders!$P:$P,MATCH(A784,orders!$C:$C,0))</f>
        <v>No</v>
      </c>
      <c r="H784" s="17">
        <f t="shared" si="74"/>
        <v>5</v>
      </c>
      <c r="I784" s="14">
        <f t="shared" si="75"/>
        <v>1</v>
      </c>
      <c r="J784">
        <f t="shared" si="76"/>
        <v>1</v>
      </c>
      <c r="K784" s="14">
        <f t="shared" si="77"/>
        <v>7</v>
      </c>
      <c r="L784" t="str">
        <f t="shared" si="78"/>
        <v>Standard One-Time Buyers</v>
      </c>
    </row>
    <row r="785" spans="1:12" x14ac:dyDescent="0.3">
      <c r="A785" s="12" t="s">
        <v>2695</v>
      </c>
      <c r="B785" s="14" t="str">
        <f>INDEX(orders!$F:$F,MATCH(A785,orders!$C:$C,0))</f>
        <v>Itch Norquoy</v>
      </c>
      <c r="C785" s="15">
        <f>_xlfn.MAXIFS(orders!$B:$B,orders!$C:$C,A785)</f>
        <v>44133</v>
      </c>
      <c r="D785" s="14">
        <f t="shared" si="73"/>
        <v>660</v>
      </c>
      <c r="E785" s="14">
        <f>COUNTIFS(orders!$C:$C,A785)</f>
        <v>1</v>
      </c>
      <c r="F785" s="16">
        <f>SUMIFS(orders!$M:$M,orders!$C:$C,A785)</f>
        <v>13.5</v>
      </c>
      <c r="G785" s="14" t="str">
        <f>INDEX(orders!$P:$P,MATCH(A785,orders!$C:$C,0))</f>
        <v>No</v>
      </c>
      <c r="H785" s="17">
        <f t="shared" si="74"/>
        <v>3</v>
      </c>
      <c r="I785" s="14">
        <f t="shared" si="75"/>
        <v>1</v>
      </c>
      <c r="J785">
        <f t="shared" si="76"/>
        <v>1</v>
      </c>
      <c r="K785" s="14">
        <f t="shared" si="77"/>
        <v>5</v>
      </c>
      <c r="L785" t="str">
        <f t="shared" si="78"/>
        <v>Standard One-Time Buyers</v>
      </c>
    </row>
    <row r="786" spans="1:12" x14ac:dyDescent="0.3">
      <c r="A786" s="12" t="s">
        <v>925</v>
      </c>
      <c r="B786" s="14" t="str">
        <f>INDEX(orders!$F:$F,MATCH(A786,orders!$C:$C,0))</f>
        <v>Colene Elgey</v>
      </c>
      <c r="C786" s="15">
        <f>_xlfn.MAXIFS(orders!$B:$B,orders!$C:$C,A786)</f>
        <v>43594</v>
      </c>
      <c r="D786" s="14">
        <f t="shared" si="73"/>
        <v>1199</v>
      </c>
      <c r="E786" s="14">
        <f>COUNTIFS(orders!$C:$C,A786)</f>
        <v>1</v>
      </c>
      <c r="F786" s="16">
        <f>SUMIFS(orders!$M:$M,orders!$C:$C,A786)</f>
        <v>7.29</v>
      </c>
      <c r="G786" s="14" t="str">
        <f>INDEX(orders!$P:$P,MATCH(A786,orders!$C:$C,0))</f>
        <v>No</v>
      </c>
      <c r="H786" s="17">
        <f t="shared" si="74"/>
        <v>1</v>
      </c>
      <c r="I786" s="14">
        <f t="shared" si="75"/>
        <v>1</v>
      </c>
      <c r="J786">
        <f t="shared" si="76"/>
        <v>1</v>
      </c>
      <c r="K786" s="14">
        <f t="shared" si="77"/>
        <v>3</v>
      </c>
      <c r="L786" t="str">
        <f t="shared" si="78"/>
        <v>Lapsed One-Time Buyers</v>
      </c>
    </row>
    <row r="787" spans="1:12" x14ac:dyDescent="0.3">
      <c r="A787" s="12" t="s">
        <v>1454</v>
      </c>
      <c r="B787" s="14" t="str">
        <f>INDEX(orders!$F:$F,MATCH(A787,orders!$C:$C,0))</f>
        <v>Minny Chamberlayne</v>
      </c>
      <c r="C787" s="15">
        <f>_xlfn.MAXIFS(orders!$B:$B,orders!$C:$C,A787)</f>
        <v>43544</v>
      </c>
      <c r="D787" s="14">
        <f t="shared" si="73"/>
        <v>1249</v>
      </c>
      <c r="E787" s="14">
        <f>COUNTIFS(orders!$C:$C,A787)</f>
        <v>1</v>
      </c>
      <c r="F787" s="16">
        <f>SUMIFS(orders!$M:$M,orders!$C:$C,A787)</f>
        <v>63.249999999999993</v>
      </c>
      <c r="G787" s="14" t="str">
        <f>INDEX(orders!$P:$P,MATCH(A787,orders!$C:$C,0))</f>
        <v>Yes</v>
      </c>
      <c r="H787" s="17">
        <f t="shared" si="74"/>
        <v>1</v>
      </c>
      <c r="I787" s="14">
        <f t="shared" si="75"/>
        <v>1</v>
      </c>
      <c r="J787">
        <f t="shared" si="76"/>
        <v>4</v>
      </c>
      <c r="K787" s="14">
        <f t="shared" si="77"/>
        <v>6</v>
      </c>
      <c r="L787" t="str">
        <f t="shared" si="78"/>
        <v>Lapsed One-Time Buyers</v>
      </c>
    </row>
    <row r="788" spans="1:12" x14ac:dyDescent="0.3">
      <c r="A788" s="12" t="s">
        <v>1493</v>
      </c>
      <c r="B788" s="14" t="str">
        <f>INDEX(orders!$F:$F,MATCH(A788,orders!$C:$C,0))</f>
        <v>Katerina Melloi</v>
      </c>
      <c r="C788" s="15">
        <f>_xlfn.MAXIFS(orders!$B:$B,orders!$C:$C,A788)</f>
        <v>43746</v>
      </c>
      <c r="D788" s="14">
        <f t="shared" si="73"/>
        <v>1047</v>
      </c>
      <c r="E788" s="14">
        <f>COUNTIFS(orders!$C:$C,A788)</f>
        <v>1</v>
      </c>
      <c r="F788" s="16">
        <f>SUMIFS(orders!$M:$M,orders!$C:$C,A788)</f>
        <v>25.9</v>
      </c>
      <c r="G788" s="14" t="str">
        <f>INDEX(orders!$P:$P,MATCH(A788,orders!$C:$C,0))</f>
        <v>No</v>
      </c>
      <c r="H788" s="17">
        <f t="shared" si="74"/>
        <v>1</v>
      </c>
      <c r="I788" s="14">
        <f t="shared" si="75"/>
        <v>1</v>
      </c>
      <c r="J788">
        <f t="shared" si="76"/>
        <v>3</v>
      </c>
      <c r="K788" s="14">
        <f t="shared" si="77"/>
        <v>5</v>
      </c>
      <c r="L788" t="str">
        <f t="shared" si="78"/>
        <v>Lapsed One-Time Buyers</v>
      </c>
    </row>
    <row r="789" spans="1:12" x14ac:dyDescent="0.3">
      <c r="A789" s="12" t="s">
        <v>520</v>
      </c>
      <c r="B789" s="14" t="str">
        <f>INDEX(orders!$F:$F,MATCH(A789,orders!$C:$C,0))</f>
        <v>Beryle Cottier</v>
      </c>
      <c r="C789" s="15">
        <f>_xlfn.MAXIFS(orders!$B:$B,orders!$C:$C,A789)</f>
        <v>44412</v>
      </c>
      <c r="D789" s="14">
        <f t="shared" si="73"/>
        <v>381</v>
      </c>
      <c r="E789" s="14">
        <f>COUNTIFS(orders!$C:$C,A789)</f>
        <v>1</v>
      </c>
      <c r="F789" s="16">
        <f>SUMIFS(orders!$M:$M,orders!$C:$C,A789)</f>
        <v>38.849999999999994</v>
      </c>
      <c r="G789" s="14" t="str">
        <f>INDEX(orders!$P:$P,MATCH(A789,orders!$C:$C,0))</f>
        <v>No</v>
      </c>
      <c r="H789" s="17">
        <f t="shared" si="74"/>
        <v>4</v>
      </c>
      <c r="I789" s="14">
        <f t="shared" si="75"/>
        <v>1</v>
      </c>
      <c r="J789">
        <f t="shared" si="76"/>
        <v>3</v>
      </c>
      <c r="K789" s="14">
        <f t="shared" si="77"/>
        <v>8</v>
      </c>
      <c r="L789" t="str">
        <f t="shared" si="78"/>
        <v>Standard One-Time Buyers</v>
      </c>
    </row>
    <row r="790" spans="1:12" x14ac:dyDescent="0.3">
      <c r="A790" s="12" t="s">
        <v>5764</v>
      </c>
      <c r="B790" s="14" t="str">
        <f>INDEX(orders!$F:$F,MATCH(A790,orders!$C:$C,0))</f>
        <v>Brenn Dundredge</v>
      </c>
      <c r="C790" s="15">
        <f>_xlfn.MAXIFS(orders!$B:$B,orders!$C:$C,A790)</f>
        <v>44722</v>
      </c>
      <c r="D790" s="14">
        <f t="shared" si="73"/>
        <v>71</v>
      </c>
      <c r="E790" s="14">
        <f>COUNTIFS(orders!$C:$C,A790)</f>
        <v>7</v>
      </c>
      <c r="F790" s="16">
        <f>SUMIFS(orders!$M:$M,orders!$C:$C,A790)</f>
        <v>307.04499999999996</v>
      </c>
      <c r="G790" s="14" t="str">
        <f>INDEX(orders!$P:$P,MATCH(A790,orders!$C:$C,0))</f>
        <v>Yes</v>
      </c>
      <c r="H790" s="17">
        <f t="shared" si="74"/>
        <v>5</v>
      </c>
      <c r="I790" s="14">
        <f t="shared" si="75"/>
        <v>5</v>
      </c>
      <c r="J790">
        <f t="shared" si="76"/>
        <v>5</v>
      </c>
      <c r="K790" s="14">
        <f t="shared" si="77"/>
        <v>15</v>
      </c>
      <c r="L790" t="str">
        <f t="shared" si="78"/>
        <v>Loyal Repeat Customers</v>
      </c>
    </row>
    <row r="791" spans="1:12" x14ac:dyDescent="0.3">
      <c r="A791" s="12" t="s">
        <v>3644</v>
      </c>
      <c r="B791" s="14" t="str">
        <f>INDEX(orders!$F:$F,MATCH(A791,orders!$C:$C,0))</f>
        <v>Kenton Wetherick</v>
      </c>
      <c r="C791" s="15">
        <f>_xlfn.MAXIFS(orders!$B:$B,orders!$C:$C,A791)</f>
        <v>44225</v>
      </c>
      <c r="D791" s="14">
        <f t="shared" si="73"/>
        <v>568</v>
      </c>
      <c r="E791" s="14">
        <f>COUNTIFS(orders!$C:$C,A791)</f>
        <v>1</v>
      </c>
      <c r="F791" s="16">
        <f>SUMIFS(orders!$M:$M,orders!$C:$C,A791)</f>
        <v>15.54</v>
      </c>
      <c r="G791" s="14" t="str">
        <f>INDEX(orders!$P:$P,MATCH(A791,orders!$C:$C,0))</f>
        <v>Yes</v>
      </c>
      <c r="H791" s="17">
        <f t="shared" si="74"/>
        <v>3</v>
      </c>
      <c r="I791" s="14">
        <f t="shared" si="75"/>
        <v>1</v>
      </c>
      <c r="J791">
        <f t="shared" si="76"/>
        <v>2</v>
      </c>
      <c r="K791" s="14">
        <f t="shared" si="77"/>
        <v>6</v>
      </c>
      <c r="L791" t="str">
        <f t="shared" si="78"/>
        <v>Standard One-Time Buyers</v>
      </c>
    </row>
    <row r="792" spans="1:12" x14ac:dyDescent="0.3">
      <c r="A792" s="12" t="s">
        <v>2799</v>
      </c>
      <c r="B792" s="14" t="str">
        <f>INDEX(orders!$F:$F,MATCH(A792,orders!$C:$C,0))</f>
        <v>Hamish Skeech</v>
      </c>
      <c r="C792" s="15">
        <f>_xlfn.MAXIFS(orders!$B:$B,orders!$C:$C,A792)</f>
        <v>44203</v>
      </c>
      <c r="D792" s="14">
        <f t="shared" si="73"/>
        <v>590</v>
      </c>
      <c r="E792" s="14">
        <f>COUNTIFS(orders!$C:$C,A792)</f>
        <v>1</v>
      </c>
      <c r="F792" s="16">
        <f>SUMIFS(orders!$M:$M,orders!$C:$C,A792)</f>
        <v>47.55</v>
      </c>
      <c r="G792" s="14" t="str">
        <f>INDEX(orders!$P:$P,MATCH(A792,orders!$C:$C,0))</f>
        <v>Yes</v>
      </c>
      <c r="H792" s="17">
        <f t="shared" si="74"/>
        <v>3</v>
      </c>
      <c r="I792" s="14">
        <f t="shared" si="75"/>
        <v>1</v>
      </c>
      <c r="J792">
        <f t="shared" si="76"/>
        <v>4</v>
      </c>
      <c r="K792" s="14">
        <f t="shared" si="77"/>
        <v>8</v>
      </c>
      <c r="L792" t="str">
        <f t="shared" si="78"/>
        <v>Standard One-Time Buyers</v>
      </c>
    </row>
    <row r="793" spans="1:12" x14ac:dyDescent="0.3">
      <c r="A793" s="12" t="s">
        <v>5743</v>
      </c>
      <c r="B793" s="14" t="str">
        <f>INDEX(orders!$F:$F,MATCH(A793,orders!$C:$C,0))</f>
        <v>Jarred Camillo</v>
      </c>
      <c r="C793" s="15">
        <f>_xlfn.MAXIFS(orders!$B:$B,orders!$C:$C,A793)</f>
        <v>44165</v>
      </c>
      <c r="D793" s="14">
        <f t="shared" si="73"/>
        <v>628</v>
      </c>
      <c r="E793" s="14">
        <f>COUNTIFS(orders!$C:$C,A793)</f>
        <v>1</v>
      </c>
      <c r="F793" s="16">
        <f>SUMIFS(orders!$M:$M,orders!$C:$C,A793)</f>
        <v>8.91</v>
      </c>
      <c r="G793" s="14" t="str">
        <f>INDEX(orders!$P:$P,MATCH(A793,orders!$C:$C,0))</f>
        <v>Yes</v>
      </c>
      <c r="H793" s="17">
        <f t="shared" si="74"/>
        <v>3</v>
      </c>
      <c r="I793" s="14">
        <f t="shared" si="75"/>
        <v>1</v>
      </c>
      <c r="J793">
        <f t="shared" si="76"/>
        <v>1</v>
      </c>
      <c r="K793" s="14">
        <f t="shared" si="77"/>
        <v>5</v>
      </c>
      <c r="L793" t="str">
        <f t="shared" si="78"/>
        <v>Standard One-Time Buyers</v>
      </c>
    </row>
    <row r="794" spans="1:12" x14ac:dyDescent="0.3">
      <c r="A794" s="12" t="s">
        <v>2188</v>
      </c>
      <c r="B794" s="14" t="str">
        <f>INDEX(orders!$F:$F,MATCH(A794,orders!$C:$C,0))</f>
        <v>Trescha Jedrachowicz</v>
      </c>
      <c r="C794" s="15">
        <f>_xlfn.MAXIFS(orders!$B:$B,orders!$C:$C,A794)</f>
        <v>44102</v>
      </c>
      <c r="D794" s="14">
        <f t="shared" si="73"/>
        <v>691</v>
      </c>
      <c r="E794" s="14">
        <f>COUNTIFS(orders!$C:$C,A794)</f>
        <v>1</v>
      </c>
      <c r="F794" s="16">
        <f>SUMIFS(orders!$M:$M,orders!$C:$C,A794)</f>
        <v>15.54</v>
      </c>
      <c r="G794" s="14" t="str">
        <f>INDEX(orders!$P:$P,MATCH(A794,orders!$C:$C,0))</f>
        <v>Yes</v>
      </c>
      <c r="H794" s="17">
        <f t="shared" si="74"/>
        <v>3</v>
      </c>
      <c r="I794" s="14">
        <f t="shared" si="75"/>
        <v>1</v>
      </c>
      <c r="J794">
        <f t="shared" si="76"/>
        <v>2</v>
      </c>
      <c r="K794" s="14">
        <f t="shared" si="77"/>
        <v>6</v>
      </c>
      <c r="L794" t="str">
        <f t="shared" si="78"/>
        <v>Standard One-Time Buyers</v>
      </c>
    </row>
    <row r="795" spans="1:12" x14ac:dyDescent="0.3">
      <c r="A795" s="12" t="s">
        <v>1580</v>
      </c>
      <c r="B795" s="14" t="str">
        <f>INDEX(orders!$F:$F,MATCH(A795,orders!$C:$C,0))</f>
        <v>Kimberli Mustchin</v>
      </c>
      <c r="C795" s="15">
        <f>_xlfn.MAXIFS(orders!$B:$B,orders!$C:$C,A795)</f>
        <v>44644</v>
      </c>
      <c r="D795" s="14">
        <f t="shared" si="73"/>
        <v>149</v>
      </c>
      <c r="E795" s="14">
        <f>COUNTIFS(orders!$C:$C,A795)</f>
        <v>1</v>
      </c>
      <c r="F795" s="16">
        <f>SUMIFS(orders!$M:$M,orders!$C:$C,A795)</f>
        <v>44.55</v>
      </c>
      <c r="G795" s="14" t="str">
        <f>INDEX(orders!$P:$P,MATCH(A795,orders!$C:$C,0))</f>
        <v>No</v>
      </c>
      <c r="H795" s="17">
        <f t="shared" si="74"/>
        <v>5</v>
      </c>
      <c r="I795" s="14">
        <f t="shared" si="75"/>
        <v>1</v>
      </c>
      <c r="J795">
        <f t="shared" si="76"/>
        <v>4</v>
      </c>
      <c r="K795" s="14">
        <f t="shared" si="77"/>
        <v>10</v>
      </c>
      <c r="L795" t="str">
        <f t="shared" si="78"/>
        <v>Recent High-Value (One-Time)</v>
      </c>
    </row>
    <row r="796" spans="1:12" x14ac:dyDescent="0.3">
      <c r="A796" s="12" t="s">
        <v>1240</v>
      </c>
      <c r="B796" s="14" t="str">
        <f>INDEX(orders!$F:$F,MATCH(A796,orders!$C:$C,0))</f>
        <v>Othello Syseland</v>
      </c>
      <c r="C796" s="15">
        <f>_xlfn.MAXIFS(orders!$B:$B,orders!$C:$C,A796)</f>
        <v>44340</v>
      </c>
      <c r="D796" s="14">
        <f t="shared" si="73"/>
        <v>453</v>
      </c>
      <c r="E796" s="14">
        <f>COUNTIFS(orders!$C:$C,A796)</f>
        <v>1</v>
      </c>
      <c r="F796" s="16">
        <f>SUMIFS(orders!$M:$M,orders!$C:$C,A796)</f>
        <v>12.95</v>
      </c>
      <c r="G796" s="14" t="str">
        <f>INDEX(orders!$P:$P,MATCH(A796,orders!$C:$C,0))</f>
        <v>No</v>
      </c>
      <c r="H796" s="17">
        <f t="shared" si="74"/>
        <v>4</v>
      </c>
      <c r="I796" s="14">
        <f t="shared" si="75"/>
        <v>1</v>
      </c>
      <c r="J796">
        <f t="shared" si="76"/>
        <v>1</v>
      </c>
      <c r="K796" s="14">
        <f t="shared" si="77"/>
        <v>6</v>
      </c>
      <c r="L796" t="str">
        <f t="shared" si="78"/>
        <v>Standard One-Time Buyers</v>
      </c>
    </row>
    <row r="797" spans="1:12" x14ac:dyDescent="0.3">
      <c r="A797" s="12" t="s">
        <v>5047</v>
      </c>
      <c r="B797" s="14" t="str">
        <f>INDEX(orders!$F:$F,MATCH(A797,orders!$C:$C,0))</f>
        <v>Kathleen Diable</v>
      </c>
      <c r="C797" s="15">
        <f>_xlfn.MAXIFS(orders!$B:$B,orders!$C:$C,A797)</f>
        <v>44241</v>
      </c>
      <c r="D797" s="14">
        <f t="shared" si="73"/>
        <v>552</v>
      </c>
      <c r="E797" s="14">
        <f>COUNTIFS(orders!$C:$C,A797)</f>
        <v>1</v>
      </c>
      <c r="F797" s="16">
        <f>SUMIFS(orders!$M:$M,orders!$C:$C,A797)</f>
        <v>7.77</v>
      </c>
      <c r="G797" s="14" t="str">
        <f>INDEX(orders!$P:$P,MATCH(A797,orders!$C:$C,0))</f>
        <v>Yes</v>
      </c>
      <c r="H797" s="17">
        <f t="shared" si="74"/>
        <v>3</v>
      </c>
      <c r="I797" s="14">
        <f t="shared" si="75"/>
        <v>1</v>
      </c>
      <c r="J797">
        <f t="shared" si="76"/>
        <v>1</v>
      </c>
      <c r="K797" s="14">
        <f t="shared" si="77"/>
        <v>5</v>
      </c>
      <c r="L797" t="str">
        <f t="shared" si="78"/>
        <v>Standard One-Time Buyers</v>
      </c>
    </row>
    <row r="798" spans="1:12" x14ac:dyDescent="0.3">
      <c r="A798" s="12" t="s">
        <v>1066</v>
      </c>
      <c r="B798" s="14" t="str">
        <f>INDEX(orders!$F:$F,MATCH(A798,orders!$C:$C,0))</f>
        <v>Bram Revel</v>
      </c>
      <c r="C798" s="15">
        <f>_xlfn.MAXIFS(orders!$B:$B,orders!$C:$C,A798)</f>
        <v>44750</v>
      </c>
      <c r="D798" s="14">
        <f t="shared" si="73"/>
        <v>43</v>
      </c>
      <c r="E798" s="14">
        <f>COUNTIFS(orders!$C:$C,A798)</f>
        <v>1</v>
      </c>
      <c r="F798" s="16">
        <f>SUMIFS(orders!$M:$M,orders!$C:$C,A798)</f>
        <v>11.94</v>
      </c>
      <c r="G798" s="14" t="str">
        <f>INDEX(orders!$P:$P,MATCH(A798,orders!$C:$C,0))</f>
        <v>No</v>
      </c>
      <c r="H798" s="17">
        <f t="shared" si="74"/>
        <v>5</v>
      </c>
      <c r="I798" s="14">
        <f t="shared" si="75"/>
        <v>1</v>
      </c>
      <c r="J798">
        <f t="shared" si="76"/>
        <v>1</v>
      </c>
      <c r="K798" s="14">
        <f t="shared" si="77"/>
        <v>7</v>
      </c>
      <c r="L798" t="str">
        <f t="shared" si="78"/>
        <v>Standard One-Time Buyers</v>
      </c>
    </row>
    <row r="799" spans="1:12" x14ac:dyDescent="0.3">
      <c r="A799" s="12" t="s">
        <v>3572</v>
      </c>
      <c r="B799" s="14" t="str">
        <f>INDEX(orders!$F:$F,MATCH(A799,orders!$C:$C,0))</f>
        <v>Rufus Flear</v>
      </c>
      <c r="C799" s="15">
        <f>_xlfn.MAXIFS(orders!$B:$B,orders!$C:$C,A799)</f>
        <v>44120</v>
      </c>
      <c r="D799" s="14">
        <f t="shared" si="73"/>
        <v>673</v>
      </c>
      <c r="E799" s="14">
        <f>COUNTIFS(orders!$C:$C,A799)</f>
        <v>1</v>
      </c>
      <c r="F799" s="16">
        <f>SUMIFS(orders!$M:$M,orders!$C:$C,A799)</f>
        <v>15.54</v>
      </c>
      <c r="G799" s="14" t="str">
        <f>INDEX(orders!$P:$P,MATCH(A799,orders!$C:$C,0))</f>
        <v>No</v>
      </c>
      <c r="H799" s="17">
        <f t="shared" si="74"/>
        <v>3</v>
      </c>
      <c r="I799" s="14">
        <f t="shared" si="75"/>
        <v>1</v>
      </c>
      <c r="J799">
        <f t="shared" si="76"/>
        <v>2</v>
      </c>
      <c r="K799" s="14">
        <f t="shared" si="77"/>
        <v>6</v>
      </c>
      <c r="L799" t="str">
        <f t="shared" si="78"/>
        <v>Standard One-Time Buyers</v>
      </c>
    </row>
    <row r="800" spans="1:12" x14ac:dyDescent="0.3">
      <c r="A800" s="12" t="s">
        <v>4677</v>
      </c>
      <c r="B800" s="14" t="str">
        <f>INDEX(orders!$F:$F,MATCH(A800,orders!$C:$C,0))</f>
        <v>Lyon Ibert</v>
      </c>
      <c r="C800" s="15">
        <f>_xlfn.MAXIFS(orders!$B:$B,orders!$C:$C,A800)</f>
        <v>43566</v>
      </c>
      <c r="D800" s="14">
        <f t="shared" si="73"/>
        <v>1227</v>
      </c>
      <c r="E800" s="14">
        <f>COUNTIFS(orders!$C:$C,A800)</f>
        <v>1</v>
      </c>
      <c r="F800" s="16">
        <f>SUMIFS(orders!$M:$M,orders!$C:$C,A800)</f>
        <v>8.73</v>
      </c>
      <c r="G800" s="14" t="str">
        <f>INDEX(orders!$P:$P,MATCH(A800,orders!$C:$C,0))</f>
        <v>No</v>
      </c>
      <c r="H800" s="17">
        <f t="shared" si="74"/>
        <v>1</v>
      </c>
      <c r="I800" s="14">
        <f t="shared" si="75"/>
        <v>1</v>
      </c>
      <c r="J800">
        <f t="shared" si="76"/>
        <v>1</v>
      </c>
      <c r="K800" s="14">
        <f t="shared" si="77"/>
        <v>3</v>
      </c>
      <c r="L800" t="str">
        <f t="shared" si="78"/>
        <v>Lapsed One-Time Buyers</v>
      </c>
    </row>
    <row r="801" spans="1:12" x14ac:dyDescent="0.3">
      <c r="A801" s="12" t="s">
        <v>5357</v>
      </c>
      <c r="B801" s="14" t="str">
        <f>INDEX(orders!$F:$F,MATCH(A801,orders!$C:$C,0))</f>
        <v>Noel Chisholm</v>
      </c>
      <c r="C801" s="15">
        <f>_xlfn.MAXIFS(orders!$B:$B,orders!$C:$C,A801)</f>
        <v>43802</v>
      </c>
      <c r="D801" s="14">
        <f t="shared" si="73"/>
        <v>991</v>
      </c>
      <c r="E801" s="14">
        <f>COUNTIFS(orders!$C:$C,A801)</f>
        <v>1</v>
      </c>
      <c r="F801" s="16">
        <f>SUMIFS(orders!$M:$M,orders!$C:$C,A801)</f>
        <v>77.699999999999989</v>
      </c>
      <c r="G801" s="14" t="str">
        <f>INDEX(orders!$P:$P,MATCH(A801,orders!$C:$C,0))</f>
        <v>Yes</v>
      </c>
      <c r="H801" s="17">
        <f t="shared" si="74"/>
        <v>2</v>
      </c>
      <c r="I801" s="14">
        <f t="shared" si="75"/>
        <v>1</v>
      </c>
      <c r="J801">
        <f t="shared" si="76"/>
        <v>4</v>
      </c>
      <c r="K801" s="14">
        <f t="shared" si="77"/>
        <v>7</v>
      </c>
      <c r="L801" t="str">
        <f t="shared" si="78"/>
        <v>Lapsed One-Time Buyers</v>
      </c>
    </row>
    <row r="802" spans="1:12" x14ac:dyDescent="0.3">
      <c r="A802" s="12" t="s">
        <v>991</v>
      </c>
      <c r="B802" s="14" t="str">
        <f>INDEX(orders!$F:$F,MATCH(A802,orders!$C:$C,0))</f>
        <v>Torie Gottelier</v>
      </c>
      <c r="C802" s="15">
        <f>_xlfn.MAXIFS(orders!$B:$B,orders!$C:$C,A802)</f>
        <v>44545</v>
      </c>
      <c r="D802" s="14">
        <f t="shared" si="73"/>
        <v>248</v>
      </c>
      <c r="E802" s="14">
        <f>COUNTIFS(orders!$C:$C,A802)</f>
        <v>1</v>
      </c>
      <c r="F802" s="16">
        <f>SUMIFS(orders!$M:$M,orders!$C:$C,A802)</f>
        <v>77.699999999999989</v>
      </c>
      <c r="G802" s="14" t="str">
        <f>INDEX(orders!$P:$P,MATCH(A802,orders!$C:$C,0))</f>
        <v>No</v>
      </c>
      <c r="H802" s="17">
        <f t="shared" si="74"/>
        <v>5</v>
      </c>
      <c r="I802" s="14">
        <f t="shared" si="75"/>
        <v>1</v>
      </c>
      <c r="J802">
        <f t="shared" si="76"/>
        <v>4</v>
      </c>
      <c r="K802" s="14">
        <f t="shared" si="77"/>
        <v>10</v>
      </c>
      <c r="L802" t="str">
        <f t="shared" si="78"/>
        <v>Recent High-Value (One-Time)</v>
      </c>
    </row>
    <row r="803" spans="1:12" x14ac:dyDescent="0.3">
      <c r="A803" s="12" t="s">
        <v>3835</v>
      </c>
      <c r="B803" s="14" t="str">
        <f>INDEX(orders!$F:$F,MATCH(A803,orders!$C:$C,0))</f>
        <v>Kylie Mowat</v>
      </c>
      <c r="C803" s="15">
        <f>_xlfn.MAXIFS(orders!$B:$B,orders!$C:$C,A803)</f>
        <v>44437</v>
      </c>
      <c r="D803" s="14">
        <f t="shared" si="73"/>
        <v>356</v>
      </c>
      <c r="E803" s="14">
        <f>COUNTIFS(orders!$C:$C,A803)</f>
        <v>1</v>
      </c>
      <c r="F803" s="16">
        <f>SUMIFS(orders!$M:$M,orders!$C:$C,A803)</f>
        <v>51.749999999999993</v>
      </c>
      <c r="G803" s="14" t="str">
        <f>INDEX(orders!$P:$P,MATCH(A803,orders!$C:$C,0))</f>
        <v>No</v>
      </c>
      <c r="H803" s="17">
        <f t="shared" si="74"/>
        <v>4</v>
      </c>
      <c r="I803" s="14">
        <f t="shared" si="75"/>
        <v>1</v>
      </c>
      <c r="J803">
        <f t="shared" si="76"/>
        <v>4</v>
      </c>
      <c r="K803" s="14">
        <f t="shared" si="77"/>
        <v>9</v>
      </c>
      <c r="L803" t="str">
        <f t="shared" si="78"/>
        <v>Recent High-Value (One-Time)</v>
      </c>
    </row>
    <row r="804" spans="1:12" x14ac:dyDescent="0.3">
      <c r="A804" s="12" t="s">
        <v>2935</v>
      </c>
      <c r="B804" s="14" t="str">
        <f>INDEX(orders!$F:$F,MATCH(A804,orders!$C:$C,0))</f>
        <v>Nevsa Fields</v>
      </c>
      <c r="C804" s="15">
        <f>_xlfn.MAXIFS(orders!$B:$B,orders!$C:$C,A804)</f>
        <v>43807</v>
      </c>
      <c r="D804" s="14">
        <f t="shared" si="73"/>
        <v>986</v>
      </c>
      <c r="E804" s="14">
        <f>COUNTIFS(orders!$C:$C,A804)</f>
        <v>1</v>
      </c>
      <c r="F804" s="16">
        <f>SUMIFS(orders!$M:$M,orders!$C:$C,A804)</f>
        <v>67.5</v>
      </c>
      <c r="G804" s="14" t="str">
        <f>INDEX(orders!$P:$P,MATCH(A804,orders!$C:$C,0))</f>
        <v>No</v>
      </c>
      <c r="H804" s="17">
        <f t="shared" si="74"/>
        <v>2</v>
      </c>
      <c r="I804" s="14">
        <f t="shared" si="75"/>
        <v>1</v>
      </c>
      <c r="J804">
        <f t="shared" si="76"/>
        <v>4</v>
      </c>
      <c r="K804" s="14">
        <f t="shared" si="77"/>
        <v>7</v>
      </c>
      <c r="L804" t="str">
        <f t="shared" si="78"/>
        <v>Lapsed One-Time Buyers</v>
      </c>
    </row>
    <row r="805" spans="1:12" x14ac:dyDescent="0.3">
      <c r="A805" s="12" t="s">
        <v>4230</v>
      </c>
      <c r="B805" s="14" t="str">
        <f>INDEX(orders!$F:$F,MATCH(A805,orders!$C:$C,0))</f>
        <v>Shermy Moseby</v>
      </c>
      <c r="C805" s="15">
        <f>_xlfn.MAXIFS(orders!$B:$B,orders!$C:$C,A805)</f>
        <v>44364</v>
      </c>
      <c r="D805" s="14">
        <f t="shared" si="73"/>
        <v>429</v>
      </c>
      <c r="E805" s="14">
        <f>COUNTIFS(orders!$C:$C,A805)</f>
        <v>1</v>
      </c>
      <c r="F805" s="16">
        <f>SUMIFS(orders!$M:$M,orders!$C:$C,A805)</f>
        <v>148.92499999999998</v>
      </c>
      <c r="G805" s="14" t="str">
        <f>INDEX(orders!$P:$P,MATCH(A805,orders!$C:$C,0))</f>
        <v>No</v>
      </c>
      <c r="H805" s="17">
        <f t="shared" si="74"/>
        <v>4</v>
      </c>
      <c r="I805" s="14">
        <f t="shared" si="75"/>
        <v>1</v>
      </c>
      <c r="J805">
        <f t="shared" si="76"/>
        <v>5</v>
      </c>
      <c r="K805" s="14">
        <f t="shared" si="77"/>
        <v>10</v>
      </c>
      <c r="L805" t="str">
        <f t="shared" si="78"/>
        <v>Recent High-Value (One-Time)</v>
      </c>
    </row>
    <row r="806" spans="1:12" x14ac:dyDescent="0.3">
      <c r="A806" s="12" t="s">
        <v>1187</v>
      </c>
      <c r="B806" s="14" t="str">
        <f>INDEX(orders!$F:$F,MATCH(A806,orders!$C:$C,0))</f>
        <v>Stanford Rodliff</v>
      </c>
      <c r="C806" s="15">
        <f>_xlfn.MAXIFS(orders!$B:$B,orders!$C:$C,A806)</f>
        <v>43582</v>
      </c>
      <c r="D806" s="14">
        <f t="shared" si="73"/>
        <v>1211</v>
      </c>
      <c r="E806" s="14">
        <f>COUNTIFS(orders!$C:$C,A806)</f>
        <v>1</v>
      </c>
      <c r="F806" s="16">
        <f>SUMIFS(orders!$M:$M,orders!$C:$C,A806)</f>
        <v>21.825000000000003</v>
      </c>
      <c r="G806" s="14" t="str">
        <f>INDEX(orders!$P:$P,MATCH(A806,orders!$C:$C,0))</f>
        <v>Yes</v>
      </c>
      <c r="H806" s="17">
        <f t="shared" si="74"/>
        <v>1</v>
      </c>
      <c r="I806" s="14">
        <f t="shared" si="75"/>
        <v>1</v>
      </c>
      <c r="J806">
        <f t="shared" si="76"/>
        <v>2</v>
      </c>
      <c r="K806" s="14">
        <f t="shared" si="77"/>
        <v>4</v>
      </c>
      <c r="L806" t="str">
        <f t="shared" si="78"/>
        <v>Lapsed One-Time Buyers</v>
      </c>
    </row>
    <row r="807" spans="1:12" x14ac:dyDescent="0.3">
      <c r="A807" s="12" t="s">
        <v>4865</v>
      </c>
      <c r="B807" s="14" t="str">
        <f>INDEX(orders!$F:$F,MATCH(A807,orders!$C:$C,0))</f>
        <v>Dorette Hinemoor</v>
      </c>
      <c r="C807" s="15">
        <f>_xlfn.MAXIFS(orders!$B:$B,orders!$C:$C,A807)</f>
        <v>44756</v>
      </c>
      <c r="D807" s="14">
        <f t="shared" si="73"/>
        <v>37</v>
      </c>
      <c r="E807" s="14">
        <f>COUNTIFS(orders!$C:$C,A807)</f>
        <v>1</v>
      </c>
      <c r="F807" s="16">
        <f>SUMIFS(orders!$M:$M,orders!$C:$C,A807)</f>
        <v>19.899999999999999</v>
      </c>
      <c r="G807" s="14" t="str">
        <f>INDEX(orders!$P:$P,MATCH(A807,orders!$C:$C,0))</f>
        <v>Yes</v>
      </c>
      <c r="H807" s="17">
        <f t="shared" si="74"/>
        <v>5</v>
      </c>
      <c r="I807" s="14">
        <f t="shared" si="75"/>
        <v>1</v>
      </c>
      <c r="J807">
        <f t="shared" si="76"/>
        <v>2</v>
      </c>
      <c r="K807" s="14">
        <f t="shared" si="77"/>
        <v>8</v>
      </c>
      <c r="L807" t="str">
        <f t="shared" si="78"/>
        <v>Standard One-Time Buyers</v>
      </c>
    </row>
    <row r="808" spans="1:12" x14ac:dyDescent="0.3">
      <c r="A808" s="12" t="s">
        <v>5217</v>
      </c>
      <c r="B808" s="14" t="str">
        <f>INDEX(orders!$F:$F,MATCH(A808,orders!$C:$C,0))</f>
        <v>Frans Habbergham</v>
      </c>
      <c r="C808" s="15">
        <f>_xlfn.MAXIFS(orders!$B:$B,orders!$C:$C,A808)</f>
        <v>44486</v>
      </c>
      <c r="D808" s="14">
        <f t="shared" si="73"/>
        <v>307</v>
      </c>
      <c r="E808" s="14">
        <f>COUNTIFS(orders!$C:$C,A808)</f>
        <v>1</v>
      </c>
      <c r="F808" s="16">
        <f>SUMIFS(orders!$M:$M,orders!$C:$C,A808)</f>
        <v>11.94</v>
      </c>
      <c r="G808" s="14" t="str">
        <f>INDEX(orders!$P:$P,MATCH(A808,orders!$C:$C,0))</f>
        <v>No</v>
      </c>
      <c r="H808" s="17">
        <f t="shared" si="74"/>
        <v>4</v>
      </c>
      <c r="I808" s="14">
        <f t="shared" si="75"/>
        <v>1</v>
      </c>
      <c r="J808">
        <f t="shared" si="76"/>
        <v>1</v>
      </c>
      <c r="K808" s="14">
        <f t="shared" si="77"/>
        <v>6</v>
      </c>
      <c r="L808" t="str">
        <f t="shared" si="78"/>
        <v>Standard One-Time Buyers</v>
      </c>
    </row>
    <row r="809" spans="1:12" x14ac:dyDescent="0.3">
      <c r="A809" s="12" t="s">
        <v>2872</v>
      </c>
      <c r="B809" s="14" t="str">
        <f>INDEX(orders!$F:$F,MATCH(A809,orders!$C:$C,0))</f>
        <v>Adelice Isabell</v>
      </c>
      <c r="C809" s="15">
        <f>_xlfn.MAXIFS(orders!$B:$B,orders!$C:$C,A809)</f>
        <v>44183</v>
      </c>
      <c r="D809" s="14">
        <f t="shared" si="73"/>
        <v>610</v>
      </c>
      <c r="E809" s="14">
        <f>COUNTIFS(orders!$C:$C,A809)</f>
        <v>1</v>
      </c>
      <c r="F809" s="16">
        <f>SUMIFS(orders!$M:$M,orders!$C:$C,A809)</f>
        <v>17.91</v>
      </c>
      <c r="G809" s="14" t="str">
        <f>INDEX(orders!$P:$P,MATCH(A809,orders!$C:$C,0))</f>
        <v>No</v>
      </c>
      <c r="H809" s="17">
        <f t="shared" si="74"/>
        <v>3</v>
      </c>
      <c r="I809" s="14">
        <f t="shared" si="75"/>
        <v>1</v>
      </c>
      <c r="J809">
        <f t="shared" si="76"/>
        <v>2</v>
      </c>
      <c r="K809" s="14">
        <f t="shared" si="77"/>
        <v>6</v>
      </c>
      <c r="L809" t="str">
        <f t="shared" si="78"/>
        <v>Standard One-Time Buyers</v>
      </c>
    </row>
    <row r="810" spans="1:12" x14ac:dyDescent="0.3">
      <c r="A810" s="12" t="s">
        <v>5300</v>
      </c>
      <c r="B810" s="14" t="str">
        <f>INDEX(orders!$F:$F,MATCH(A810,orders!$C:$C,0))</f>
        <v>Perice Eberz</v>
      </c>
      <c r="C810" s="15">
        <f>_xlfn.MAXIFS(orders!$B:$B,orders!$C:$C,A810)</f>
        <v>43900</v>
      </c>
      <c r="D810" s="14">
        <f t="shared" si="73"/>
        <v>893</v>
      </c>
      <c r="E810" s="14">
        <f>COUNTIFS(orders!$C:$C,A810)</f>
        <v>1</v>
      </c>
      <c r="F810" s="16">
        <f>SUMIFS(orders!$M:$M,orders!$C:$C,A810)</f>
        <v>7.77</v>
      </c>
      <c r="G810" s="14" t="str">
        <f>INDEX(orders!$P:$P,MATCH(A810,orders!$C:$C,0))</f>
        <v>Yes</v>
      </c>
      <c r="H810" s="17">
        <f t="shared" si="74"/>
        <v>2</v>
      </c>
      <c r="I810" s="14">
        <f t="shared" si="75"/>
        <v>1</v>
      </c>
      <c r="J810">
        <f t="shared" si="76"/>
        <v>1</v>
      </c>
      <c r="K810" s="14">
        <f t="shared" si="77"/>
        <v>4</v>
      </c>
      <c r="L810" t="str">
        <f t="shared" si="78"/>
        <v>Lapsed One-Time Buyers</v>
      </c>
    </row>
    <row r="811" spans="1:12" x14ac:dyDescent="0.3">
      <c r="A811" s="12" t="s">
        <v>1340</v>
      </c>
      <c r="B811" s="14" t="str">
        <f>INDEX(orders!$F:$F,MATCH(A811,orders!$C:$C,0))</f>
        <v>Quinton Fouracres</v>
      </c>
      <c r="C811" s="15">
        <f>_xlfn.MAXIFS(orders!$B:$B,orders!$C:$C,A811)</f>
        <v>44115</v>
      </c>
      <c r="D811" s="14">
        <f t="shared" si="73"/>
        <v>678</v>
      </c>
      <c r="E811" s="14">
        <f>COUNTIFS(orders!$C:$C,A811)</f>
        <v>1</v>
      </c>
      <c r="F811" s="16">
        <f>SUMIFS(orders!$M:$M,orders!$C:$C,A811)</f>
        <v>33.75</v>
      </c>
      <c r="G811" s="14" t="str">
        <f>INDEX(orders!$P:$P,MATCH(A811,orders!$C:$C,0))</f>
        <v>Yes</v>
      </c>
      <c r="H811" s="17">
        <f t="shared" si="74"/>
        <v>3</v>
      </c>
      <c r="I811" s="14">
        <f t="shared" si="75"/>
        <v>1</v>
      </c>
      <c r="J811">
        <f t="shared" si="76"/>
        <v>3</v>
      </c>
      <c r="K811" s="14">
        <f t="shared" si="77"/>
        <v>7</v>
      </c>
      <c r="L811" t="str">
        <f t="shared" si="78"/>
        <v>Standard One-Time Buyers</v>
      </c>
    </row>
    <row r="812" spans="1:12" x14ac:dyDescent="0.3">
      <c r="A812" s="12" t="s">
        <v>5655</v>
      </c>
      <c r="B812" s="14" t="str">
        <f>INDEX(orders!$F:$F,MATCH(A812,orders!$C:$C,0))</f>
        <v>Merrile Cobbledick</v>
      </c>
      <c r="C812" s="15">
        <f>_xlfn.MAXIFS(orders!$B:$B,orders!$C:$C,A812)</f>
        <v>44406</v>
      </c>
      <c r="D812" s="14">
        <f t="shared" si="73"/>
        <v>387</v>
      </c>
      <c r="E812" s="14">
        <f>COUNTIFS(orders!$C:$C,A812)</f>
        <v>1</v>
      </c>
      <c r="F812" s="16">
        <f>SUMIFS(orders!$M:$M,orders!$C:$C,A812)</f>
        <v>6.75</v>
      </c>
      <c r="G812" s="14" t="str">
        <f>INDEX(orders!$P:$P,MATCH(A812,orders!$C:$C,0))</f>
        <v>No</v>
      </c>
      <c r="H812" s="17">
        <f t="shared" si="74"/>
        <v>4</v>
      </c>
      <c r="I812" s="14">
        <f t="shared" si="75"/>
        <v>1</v>
      </c>
      <c r="J812">
        <f t="shared" si="76"/>
        <v>1</v>
      </c>
      <c r="K812" s="14">
        <f t="shared" si="77"/>
        <v>6</v>
      </c>
      <c r="L812" t="str">
        <f t="shared" si="78"/>
        <v>Standard One-Time Buyers</v>
      </c>
    </row>
    <row r="813" spans="1:12" x14ac:dyDescent="0.3">
      <c r="A813" s="12" t="s">
        <v>1217</v>
      </c>
      <c r="B813" s="14" t="str">
        <f>INDEX(orders!$F:$F,MATCH(A813,orders!$C:$C,0))</f>
        <v>Evelina Dacca</v>
      </c>
      <c r="C813" s="15">
        <f>_xlfn.MAXIFS(orders!$B:$B,orders!$C:$C,A813)</f>
        <v>43652</v>
      </c>
      <c r="D813" s="14">
        <f t="shared" si="73"/>
        <v>1141</v>
      </c>
      <c r="E813" s="14">
        <f>COUNTIFS(orders!$C:$C,A813)</f>
        <v>1</v>
      </c>
      <c r="F813" s="16">
        <f>SUMIFS(orders!$M:$M,orders!$C:$C,A813)</f>
        <v>12.15</v>
      </c>
      <c r="G813" s="14" t="str">
        <f>INDEX(orders!$P:$P,MATCH(A813,orders!$C:$C,0))</f>
        <v>Yes</v>
      </c>
      <c r="H813" s="17">
        <f t="shared" si="74"/>
        <v>1</v>
      </c>
      <c r="I813" s="14">
        <f t="shared" si="75"/>
        <v>1</v>
      </c>
      <c r="J813">
        <f t="shared" si="76"/>
        <v>1</v>
      </c>
      <c r="K813" s="14">
        <f t="shared" si="77"/>
        <v>3</v>
      </c>
      <c r="L813" t="str">
        <f t="shared" si="78"/>
        <v>Lapsed One-Time Buyers</v>
      </c>
    </row>
    <row r="814" spans="1:12" x14ac:dyDescent="0.3">
      <c r="A814" s="12" t="s">
        <v>3803</v>
      </c>
      <c r="B814" s="14" t="str">
        <f>INDEX(orders!$F:$F,MATCH(A814,orders!$C:$C,0))</f>
        <v>Zilvia Claisse</v>
      </c>
      <c r="C814" s="15">
        <f>_xlfn.MAXIFS(orders!$B:$B,orders!$C:$C,A814)</f>
        <v>43867</v>
      </c>
      <c r="D814" s="14">
        <f t="shared" si="73"/>
        <v>926</v>
      </c>
      <c r="E814" s="14">
        <f>COUNTIFS(orders!$C:$C,A814)</f>
        <v>1</v>
      </c>
      <c r="F814" s="16">
        <f>SUMIFS(orders!$M:$M,orders!$C:$C,A814)</f>
        <v>82.454999999999984</v>
      </c>
      <c r="G814" s="14" t="str">
        <f>INDEX(orders!$P:$P,MATCH(A814,orders!$C:$C,0))</f>
        <v>No</v>
      </c>
      <c r="H814" s="17">
        <f t="shared" si="74"/>
        <v>2</v>
      </c>
      <c r="I814" s="14">
        <f t="shared" si="75"/>
        <v>1</v>
      </c>
      <c r="J814">
        <f t="shared" si="76"/>
        <v>5</v>
      </c>
      <c r="K814" s="14">
        <f t="shared" si="77"/>
        <v>8</v>
      </c>
      <c r="L814" t="str">
        <f t="shared" si="78"/>
        <v>Lapsed One-Time Buyers</v>
      </c>
    </row>
    <row r="815" spans="1:12" x14ac:dyDescent="0.3">
      <c r="A815" s="12" t="s">
        <v>1778</v>
      </c>
      <c r="B815" s="14" t="str">
        <f>INDEX(orders!$F:$F,MATCH(A815,orders!$C:$C,0))</f>
        <v>Beltran Mathon</v>
      </c>
      <c r="C815" s="15">
        <f>_xlfn.MAXIFS(orders!$B:$B,orders!$C:$C,A815)</f>
        <v>44376</v>
      </c>
      <c r="D815" s="14">
        <f t="shared" si="73"/>
        <v>417</v>
      </c>
      <c r="E815" s="14">
        <f>COUNTIFS(orders!$C:$C,A815)</f>
        <v>1</v>
      </c>
      <c r="F815" s="16">
        <f>SUMIFS(orders!$M:$M,orders!$C:$C,A815)</f>
        <v>17.924999999999997</v>
      </c>
      <c r="G815" s="14" t="str">
        <f>INDEX(orders!$P:$P,MATCH(A815,orders!$C:$C,0))</f>
        <v>No</v>
      </c>
      <c r="H815" s="17">
        <f t="shared" si="74"/>
        <v>4</v>
      </c>
      <c r="I815" s="14">
        <f t="shared" si="75"/>
        <v>1</v>
      </c>
      <c r="J815">
        <f t="shared" si="76"/>
        <v>2</v>
      </c>
      <c r="K815" s="14">
        <f t="shared" si="77"/>
        <v>7</v>
      </c>
      <c r="L815" t="str">
        <f t="shared" si="78"/>
        <v>Standard One-Time Buyers</v>
      </c>
    </row>
    <row r="816" spans="1:12" x14ac:dyDescent="0.3">
      <c r="A816" s="12" t="s">
        <v>1807</v>
      </c>
      <c r="B816" s="14" t="str">
        <f>INDEX(orders!$F:$F,MATCH(A816,orders!$C:$C,0))</f>
        <v>Beryle Kenwell</v>
      </c>
      <c r="C816" s="15">
        <f>_xlfn.MAXIFS(orders!$B:$B,orders!$C:$C,A816)</f>
        <v>44278</v>
      </c>
      <c r="D816" s="14">
        <f t="shared" si="73"/>
        <v>515</v>
      </c>
      <c r="E816" s="14">
        <f>COUNTIFS(orders!$C:$C,A816)</f>
        <v>1</v>
      </c>
      <c r="F816" s="16">
        <f>SUMIFS(orders!$M:$M,orders!$C:$C,A816)</f>
        <v>20.625</v>
      </c>
      <c r="G816" s="14" t="str">
        <f>INDEX(orders!$P:$P,MATCH(A816,orders!$C:$C,0))</f>
        <v>No</v>
      </c>
      <c r="H816" s="17">
        <f t="shared" si="74"/>
        <v>3</v>
      </c>
      <c r="I816" s="14">
        <f t="shared" si="75"/>
        <v>1</v>
      </c>
      <c r="J816">
        <f t="shared" si="76"/>
        <v>2</v>
      </c>
      <c r="K816" s="14">
        <f t="shared" si="77"/>
        <v>6</v>
      </c>
      <c r="L816" t="str">
        <f t="shared" si="78"/>
        <v>Standard One-Time Buyers</v>
      </c>
    </row>
    <row r="817" spans="1:12" x14ac:dyDescent="0.3">
      <c r="A817" s="12" t="s">
        <v>2975</v>
      </c>
      <c r="B817" s="14" t="str">
        <f>INDEX(orders!$F:$F,MATCH(A817,orders!$C:$C,0))</f>
        <v>Livy Lathleiff</v>
      </c>
      <c r="C817" s="15">
        <f>_xlfn.MAXIFS(orders!$B:$B,orders!$C:$C,A817)</f>
        <v>43573</v>
      </c>
      <c r="D817" s="14">
        <f t="shared" si="73"/>
        <v>1220</v>
      </c>
      <c r="E817" s="14">
        <f>COUNTIFS(orders!$C:$C,A817)</f>
        <v>1</v>
      </c>
      <c r="F817" s="16">
        <f>SUMIFS(orders!$M:$M,orders!$C:$C,A817)</f>
        <v>36.450000000000003</v>
      </c>
      <c r="G817" s="14" t="str">
        <f>INDEX(orders!$P:$P,MATCH(A817,orders!$C:$C,0))</f>
        <v>Yes</v>
      </c>
      <c r="H817" s="17">
        <f t="shared" si="74"/>
        <v>1</v>
      </c>
      <c r="I817" s="14">
        <f t="shared" si="75"/>
        <v>1</v>
      </c>
      <c r="J817">
        <f t="shared" si="76"/>
        <v>3</v>
      </c>
      <c r="K817" s="14">
        <f t="shared" si="77"/>
        <v>5</v>
      </c>
      <c r="L817" t="str">
        <f t="shared" si="78"/>
        <v>Lapsed One-Time Buyers</v>
      </c>
    </row>
    <row r="818" spans="1:12" x14ac:dyDescent="0.3">
      <c r="A818" s="12" t="s">
        <v>1568</v>
      </c>
      <c r="B818" s="14" t="str">
        <f>INDEX(orders!$F:$F,MATCH(A818,orders!$C:$C,0))</f>
        <v>Alisun Baudino</v>
      </c>
      <c r="C818" s="15">
        <f>_xlfn.MAXIFS(orders!$B:$B,orders!$C:$C,A818)</f>
        <v>43567</v>
      </c>
      <c r="D818" s="14">
        <f t="shared" si="73"/>
        <v>1226</v>
      </c>
      <c r="E818" s="14">
        <f>COUNTIFS(orders!$C:$C,A818)</f>
        <v>1</v>
      </c>
      <c r="F818" s="16">
        <f>SUMIFS(orders!$M:$M,orders!$C:$C,A818)</f>
        <v>19.424999999999997</v>
      </c>
      <c r="G818" s="14" t="str">
        <f>INDEX(orders!$P:$P,MATCH(A818,orders!$C:$C,0))</f>
        <v>Yes</v>
      </c>
      <c r="H818" s="17">
        <f t="shared" si="74"/>
        <v>1</v>
      </c>
      <c r="I818" s="14">
        <f t="shared" si="75"/>
        <v>1</v>
      </c>
      <c r="J818">
        <f t="shared" si="76"/>
        <v>2</v>
      </c>
      <c r="K818" s="14">
        <f t="shared" si="77"/>
        <v>4</v>
      </c>
      <c r="L818" t="str">
        <f t="shared" si="78"/>
        <v>Lapsed One-Time Buyers</v>
      </c>
    </row>
    <row r="819" spans="1:12" x14ac:dyDescent="0.3">
      <c r="A819" s="12" t="s">
        <v>1013</v>
      </c>
      <c r="B819" s="14" t="str">
        <f>INDEX(orders!$F:$F,MATCH(A819,orders!$C:$C,0))</f>
        <v>Else Langcaster</v>
      </c>
      <c r="C819" s="15">
        <f>_xlfn.MAXIFS(orders!$B:$B,orders!$C:$C,A819)</f>
        <v>43538</v>
      </c>
      <c r="D819" s="14">
        <f t="shared" si="73"/>
        <v>1255</v>
      </c>
      <c r="E819" s="14">
        <f>COUNTIFS(orders!$C:$C,A819)</f>
        <v>1</v>
      </c>
      <c r="F819" s="16">
        <f>SUMIFS(orders!$M:$M,orders!$C:$C,A819)</f>
        <v>35.64</v>
      </c>
      <c r="G819" s="14" t="str">
        <f>INDEX(orders!$P:$P,MATCH(A819,orders!$C:$C,0))</f>
        <v>Yes</v>
      </c>
      <c r="H819" s="17">
        <f t="shared" si="74"/>
        <v>1</v>
      </c>
      <c r="I819" s="14">
        <f t="shared" si="75"/>
        <v>1</v>
      </c>
      <c r="J819">
        <f t="shared" si="76"/>
        <v>3</v>
      </c>
      <c r="K819" s="14">
        <f t="shared" si="77"/>
        <v>5</v>
      </c>
      <c r="L819" t="str">
        <f t="shared" si="78"/>
        <v>Lapsed One-Time Buyers</v>
      </c>
    </row>
    <row r="820" spans="1:12" x14ac:dyDescent="0.3">
      <c r="A820" s="12" t="s">
        <v>5638</v>
      </c>
      <c r="B820" s="14" t="str">
        <f>INDEX(orders!$F:$F,MATCH(A820,orders!$C:$C,0))</f>
        <v>Wilton Jallin</v>
      </c>
      <c r="C820" s="15">
        <f>_xlfn.MAXIFS(orders!$B:$B,orders!$C:$C,A820)</f>
        <v>44447</v>
      </c>
      <c r="D820" s="14">
        <f t="shared" si="73"/>
        <v>346</v>
      </c>
      <c r="E820" s="14">
        <f>COUNTIFS(orders!$C:$C,A820)</f>
        <v>1</v>
      </c>
      <c r="F820" s="16">
        <f>SUMIFS(orders!$M:$M,orders!$C:$C,A820)</f>
        <v>91.539999999999992</v>
      </c>
      <c r="G820" s="14" t="str">
        <f>INDEX(orders!$P:$P,MATCH(A820,orders!$C:$C,0))</f>
        <v>No</v>
      </c>
      <c r="H820" s="17">
        <f t="shared" si="74"/>
        <v>4</v>
      </c>
      <c r="I820" s="14">
        <f t="shared" si="75"/>
        <v>1</v>
      </c>
      <c r="J820">
        <f t="shared" si="76"/>
        <v>5</v>
      </c>
      <c r="K820" s="14">
        <f t="shared" si="77"/>
        <v>10</v>
      </c>
      <c r="L820" t="str">
        <f t="shared" si="78"/>
        <v>Recent High-Value (One-Time)</v>
      </c>
    </row>
    <row r="821" spans="1:12" x14ac:dyDescent="0.3">
      <c r="A821" s="12" t="s">
        <v>4870</v>
      </c>
      <c r="B821" s="14" t="str">
        <f>INDEX(orders!$F:$F,MATCH(A821,orders!$C:$C,0))</f>
        <v>Rhetta Elnaugh</v>
      </c>
      <c r="C821" s="15">
        <f>_xlfn.MAXIFS(orders!$B:$B,orders!$C:$C,A821)</f>
        <v>44396</v>
      </c>
      <c r="D821" s="14">
        <f t="shared" si="73"/>
        <v>397</v>
      </c>
      <c r="E821" s="14">
        <f>COUNTIFS(orders!$C:$C,A821)</f>
        <v>1</v>
      </c>
      <c r="F821" s="16">
        <f>SUMIFS(orders!$M:$M,orders!$C:$C,A821)</f>
        <v>17.82</v>
      </c>
      <c r="G821" s="14" t="str">
        <f>INDEX(orders!$P:$P,MATCH(A821,orders!$C:$C,0))</f>
        <v>Yes</v>
      </c>
      <c r="H821" s="17">
        <f t="shared" si="74"/>
        <v>4</v>
      </c>
      <c r="I821" s="14">
        <f t="shared" si="75"/>
        <v>1</v>
      </c>
      <c r="J821">
        <f t="shared" si="76"/>
        <v>2</v>
      </c>
      <c r="K821" s="14">
        <f t="shared" si="77"/>
        <v>7</v>
      </c>
      <c r="L821" t="str">
        <f t="shared" si="78"/>
        <v>Standard One-Time Buyers</v>
      </c>
    </row>
    <row r="822" spans="1:12" x14ac:dyDescent="0.3">
      <c r="A822" s="12" t="s">
        <v>4506</v>
      </c>
      <c r="B822" s="14" t="str">
        <f>INDEX(orders!$F:$F,MATCH(A822,orders!$C:$C,0))</f>
        <v>Selia Ragles</v>
      </c>
      <c r="C822" s="15">
        <f>_xlfn.MAXIFS(orders!$B:$B,orders!$C:$C,A822)</f>
        <v>44600</v>
      </c>
      <c r="D822" s="14">
        <f t="shared" si="73"/>
        <v>193</v>
      </c>
      <c r="E822" s="14">
        <f>COUNTIFS(orders!$C:$C,A822)</f>
        <v>1</v>
      </c>
      <c r="F822" s="16">
        <f>SUMIFS(orders!$M:$M,orders!$C:$C,A822)</f>
        <v>17.91</v>
      </c>
      <c r="G822" s="14" t="str">
        <f>INDEX(orders!$P:$P,MATCH(A822,orders!$C:$C,0))</f>
        <v>No</v>
      </c>
      <c r="H822" s="17">
        <f t="shared" si="74"/>
        <v>5</v>
      </c>
      <c r="I822" s="14">
        <f t="shared" si="75"/>
        <v>1</v>
      </c>
      <c r="J822">
        <f t="shared" si="76"/>
        <v>2</v>
      </c>
      <c r="K822" s="14">
        <f t="shared" si="77"/>
        <v>8</v>
      </c>
      <c r="L822" t="str">
        <f t="shared" si="78"/>
        <v>Standard One-Time Buyers</v>
      </c>
    </row>
    <row r="823" spans="1:12" x14ac:dyDescent="0.3">
      <c r="A823" s="12" t="s">
        <v>1834</v>
      </c>
      <c r="B823" s="14" t="str">
        <f>INDEX(orders!$F:$F,MATCH(A823,orders!$C:$C,0))</f>
        <v>Friederike Drysdale</v>
      </c>
      <c r="C823" s="15">
        <f>_xlfn.MAXIFS(orders!$B:$B,orders!$C:$C,A823)</f>
        <v>44172</v>
      </c>
      <c r="D823" s="14">
        <f t="shared" si="73"/>
        <v>621</v>
      </c>
      <c r="E823" s="14">
        <f>COUNTIFS(orders!$C:$C,A823)</f>
        <v>1</v>
      </c>
      <c r="F823" s="16">
        <f>SUMIFS(orders!$M:$M,orders!$C:$C,A823)</f>
        <v>45.769999999999996</v>
      </c>
      <c r="G823" s="14" t="str">
        <f>INDEX(orders!$P:$P,MATCH(A823,orders!$C:$C,0))</f>
        <v>Yes</v>
      </c>
      <c r="H823" s="17">
        <f t="shared" si="74"/>
        <v>3</v>
      </c>
      <c r="I823" s="14">
        <f t="shared" si="75"/>
        <v>1</v>
      </c>
      <c r="J823">
        <f t="shared" si="76"/>
        <v>4</v>
      </c>
      <c r="K823" s="14">
        <f t="shared" si="77"/>
        <v>8</v>
      </c>
      <c r="L823" t="str">
        <f t="shared" si="78"/>
        <v>Standard One-Time Buyers</v>
      </c>
    </row>
    <row r="824" spans="1:12" x14ac:dyDescent="0.3">
      <c r="A824" s="12" t="s">
        <v>1181</v>
      </c>
      <c r="B824" s="14" t="str">
        <f>INDEX(orders!$F:$F,MATCH(A824,orders!$C:$C,0))</f>
        <v>Doll Beauchamp</v>
      </c>
      <c r="C824" s="15">
        <f>_xlfn.MAXIFS(orders!$B:$B,orders!$C:$C,A824)</f>
        <v>44724</v>
      </c>
      <c r="D824" s="14">
        <f t="shared" si="73"/>
        <v>69</v>
      </c>
      <c r="E824" s="14">
        <f>COUNTIFS(orders!$C:$C,A824)</f>
        <v>1</v>
      </c>
      <c r="F824" s="16">
        <f>SUMIFS(orders!$M:$M,orders!$C:$C,A824)</f>
        <v>145.82</v>
      </c>
      <c r="G824" s="14" t="str">
        <f>INDEX(orders!$P:$P,MATCH(A824,orders!$C:$C,0))</f>
        <v>No</v>
      </c>
      <c r="H824" s="17">
        <f t="shared" si="74"/>
        <v>5</v>
      </c>
      <c r="I824" s="14">
        <f t="shared" si="75"/>
        <v>1</v>
      </c>
      <c r="J824">
        <f t="shared" si="76"/>
        <v>5</v>
      </c>
      <c r="K824" s="14">
        <f t="shared" si="77"/>
        <v>11</v>
      </c>
      <c r="L824" t="str">
        <f t="shared" si="78"/>
        <v>Recent High-Value (One-Time)</v>
      </c>
    </row>
    <row r="825" spans="1:12" x14ac:dyDescent="0.3">
      <c r="A825" s="12" t="s">
        <v>3606</v>
      </c>
      <c r="B825" s="14" t="str">
        <f>INDEX(orders!$F:$F,MATCH(A825,orders!$C:$C,0))</f>
        <v>Malynda Glawsop</v>
      </c>
      <c r="C825" s="15">
        <f>_xlfn.MAXIFS(orders!$B:$B,orders!$C:$C,A825)</f>
        <v>44694</v>
      </c>
      <c r="D825" s="14">
        <f t="shared" si="73"/>
        <v>99</v>
      </c>
      <c r="E825" s="14">
        <f>COUNTIFS(orders!$C:$C,A825)</f>
        <v>1</v>
      </c>
      <c r="F825" s="16">
        <f>SUMIFS(orders!$M:$M,orders!$C:$C,A825)</f>
        <v>7.29</v>
      </c>
      <c r="G825" s="14" t="str">
        <f>INDEX(orders!$P:$P,MATCH(A825,orders!$C:$C,0))</f>
        <v>No</v>
      </c>
      <c r="H825" s="17">
        <f t="shared" si="74"/>
        <v>5</v>
      </c>
      <c r="I825" s="14">
        <f t="shared" si="75"/>
        <v>1</v>
      </c>
      <c r="J825">
        <f t="shared" si="76"/>
        <v>1</v>
      </c>
      <c r="K825" s="14">
        <f t="shared" si="77"/>
        <v>7</v>
      </c>
      <c r="L825" t="str">
        <f t="shared" si="78"/>
        <v>Standard One-Time Buyers</v>
      </c>
    </row>
    <row r="826" spans="1:12" x14ac:dyDescent="0.3">
      <c r="A826" s="12" t="s">
        <v>4355</v>
      </c>
      <c r="B826" s="14" t="str">
        <f>INDEX(orders!$F:$F,MATCH(A826,orders!$C:$C,0))</f>
        <v>Becca Ableson</v>
      </c>
      <c r="C826" s="15">
        <f>_xlfn.MAXIFS(orders!$B:$B,orders!$C:$C,A826)</f>
        <v>43517</v>
      </c>
      <c r="D826" s="14">
        <f t="shared" si="73"/>
        <v>1276</v>
      </c>
      <c r="E826" s="14">
        <f>COUNTIFS(orders!$C:$C,A826)</f>
        <v>1</v>
      </c>
      <c r="F826" s="16">
        <f>SUMIFS(orders!$M:$M,orders!$C:$C,A826)</f>
        <v>71.699999999999989</v>
      </c>
      <c r="G826" s="14" t="str">
        <f>INDEX(orders!$P:$P,MATCH(A826,orders!$C:$C,0))</f>
        <v>No</v>
      </c>
      <c r="H826" s="17">
        <f t="shared" si="74"/>
        <v>1</v>
      </c>
      <c r="I826" s="14">
        <f t="shared" si="75"/>
        <v>1</v>
      </c>
      <c r="J826">
        <f t="shared" si="76"/>
        <v>4</v>
      </c>
      <c r="K826" s="14">
        <f t="shared" si="77"/>
        <v>6</v>
      </c>
      <c r="L826" t="str">
        <f t="shared" si="78"/>
        <v>Lapsed One-Time Buyers</v>
      </c>
    </row>
    <row r="827" spans="1:12" x14ac:dyDescent="0.3">
      <c r="A827" s="12" t="s">
        <v>1649</v>
      </c>
      <c r="B827" s="14" t="str">
        <f>INDEX(orders!$F:$F,MATCH(A827,orders!$C:$C,0))</f>
        <v>Nertie Poolman</v>
      </c>
      <c r="C827" s="15">
        <f>_xlfn.MAXIFS(orders!$B:$B,orders!$C:$C,A827)</f>
        <v>44211</v>
      </c>
      <c r="D827" s="14">
        <f t="shared" si="73"/>
        <v>582</v>
      </c>
      <c r="E827" s="14">
        <f>COUNTIFS(orders!$C:$C,A827)</f>
        <v>1</v>
      </c>
      <c r="F827" s="16">
        <f>SUMIFS(orders!$M:$M,orders!$C:$C,A827)</f>
        <v>22.5</v>
      </c>
      <c r="G827" s="14" t="str">
        <f>INDEX(orders!$P:$P,MATCH(A827,orders!$C:$C,0))</f>
        <v>No</v>
      </c>
      <c r="H827" s="17">
        <f t="shared" si="74"/>
        <v>3</v>
      </c>
      <c r="I827" s="14">
        <f t="shared" si="75"/>
        <v>1</v>
      </c>
      <c r="J827">
        <f t="shared" si="76"/>
        <v>2</v>
      </c>
      <c r="K827" s="14">
        <f t="shared" si="77"/>
        <v>6</v>
      </c>
      <c r="L827" t="str">
        <f t="shared" si="78"/>
        <v>Standard One-Time Buyers</v>
      </c>
    </row>
    <row r="828" spans="1:12" x14ac:dyDescent="0.3">
      <c r="A828" s="12" t="s">
        <v>5097</v>
      </c>
      <c r="B828" s="14" t="str">
        <f>INDEX(orders!$F:$F,MATCH(A828,orders!$C:$C,0))</f>
        <v>Lenci Haggerstone</v>
      </c>
      <c r="C828" s="15">
        <f>_xlfn.MAXIFS(orders!$B:$B,orders!$C:$C,A828)</f>
        <v>44200</v>
      </c>
      <c r="D828" s="14">
        <f t="shared" si="73"/>
        <v>593</v>
      </c>
      <c r="E828" s="14">
        <f>COUNTIFS(orders!$C:$C,A828)</f>
        <v>1</v>
      </c>
      <c r="F828" s="16">
        <f>SUMIFS(orders!$M:$M,orders!$C:$C,A828)</f>
        <v>35.82</v>
      </c>
      <c r="G828" s="14" t="str">
        <f>INDEX(orders!$P:$P,MATCH(A828,orders!$C:$C,0))</f>
        <v>No</v>
      </c>
      <c r="H828" s="17">
        <f t="shared" si="74"/>
        <v>3</v>
      </c>
      <c r="I828" s="14">
        <f t="shared" si="75"/>
        <v>1</v>
      </c>
      <c r="J828">
        <f t="shared" si="76"/>
        <v>3</v>
      </c>
      <c r="K828" s="14">
        <f t="shared" si="77"/>
        <v>7</v>
      </c>
      <c r="L828" t="str">
        <f t="shared" si="78"/>
        <v>Standard One-Time Buyers</v>
      </c>
    </row>
    <row r="829" spans="1:12" x14ac:dyDescent="0.3">
      <c r="A829" s="12" t="s">
        <v>1078</v>
      </c>
      <c r="B829" s="14" t="str">
        <f>INDEX(orders!$F:$F,MATCH(A829,orders!$C:$C,0))</f>
        <v>Queenie Veel</v>
      </c>
      <c r="C829" s="15">
        <f>_xlfn.MAXIFS(orders!$B:$B,orders!$C:$C,A829)</f>
        <v>43982</v>
      </c>
      <c r="D829" s="14">
        <f t="shared" si="73"/>
        <v>811</v>
      </c>
      <c r="E829" s="14">
        <f>COUNTIFS(orders!$C:$C,A829)</f>
        <v>1</v>
      </c>
      <c r="F829" s="16">
        <f>SUMIFS(orders!$M:$M,orders!$C:$C,A829)</f>
        <v>40.5</v>
      </c>
      <c r="G829" s="14" t="str">
        <f>INDEX(orders!$P:$P,MATCH(A829,orders!$C:$C,0))</f>
        <v>Yes</v>
      </c>
      <c r="H829" s="17">
        <f t="shared" si="74"/>
        <v>2</v>
      </c>
      <c r="I829" s="14">
        <f t="shared" si="75"/>
        <v>1</v>
      </c>
      <c r="J829">
        <f t="shared" si="76"/>
        <v>3</v>
      </c>
      <c r="K829" s="14">
        <f t="shared" si="77"/>
        <v>6</v>
      </c>
      <c r="L829" t="str">
        <f t="shared" si="78"/>
        <v>Lapsed One-Time Buyers</v>
      </c>
    </row>
    <row r="830" spans="1:12" x14ac:dyDescent="0.3">
      <c r="A830" s="12" t="s">
        <v>1256</v>
      </c>
      <c r="B830" s="14" t="str">
        <f>INDEX(orders!$F:$F,MATCH(A830,orders!$C:$C,0))</f>
        <v>Lowell Keenleyside</v>
      </c>
      <c r="C830" s="15">
        <f>_xlfn.MAXIFS(orders!$B:$B,orders!$C:$C,A830)</f>
        <v>44406</v>
      </c>
      <c r="D830" s="14">
        <f t="shared" si="73"/>
        <v>387</v>
      </c>
      <c r="E830" s="14">
        <f>COUNTIFS(orders!$C:$C,A830)</f>
        <v>1</v>
      </c>
      <c r="F830" s="16">
        <f>SUMIFS(orders!$M:$M,orders!$C:$C,A830)</f>
        <v>11.94</v>
      </c>
      <c r="G830" s="14" t="str">
        <f>INDEX(orders!$P:$P,MATCH(A830,orders!$C:$C,0))</f>
        <v>No</v>
      </c>
      <c r="H830" s="17">
        <f t="shared" si="74"/>
        <v>4</v>
      </c>
      <c r="I830" s="14">
        <f t="shared" si="75"/>
        <v>1</v>
      </c>
      <c r="J830">
        <f t="shared" si="76"/>
        <v>1</v>
      </c>
      <c r="K830" s="14">
        <f t="shared" si="77"/>
        <v>6</v>
      </c>
      <c r="L830" t="str">
        <f t="shared" si="78"/>
        <v>Standard One-Time Buyers</v>
      </c>
    </row>
    <row r="831" spans="1:12" x14ac:dyDescent="0.3">
      <c r="A831" s="12" t="s">
        <v>4660</v>
      </c>
      <c r="B831" s="14" t="str">
        <f>INDEX(orders!$F:$F,MATCH(A831,orders!$C:$C,0))</f>
        <v>Natal Vigrass</v>
      </c>
      <c r="C831" s="15">
        <f>_xlfn.MAXIFS(orders!$B:$B,orders!$C:$C,A831)</f>
        <v>43812</v>
      </c>
      <c r="D831" s="14">
        <f t="shared" si="73"/>
        <v>981</v>
      </c>
      <c r="E831" s="14">
        <f>COUNTIFS(orders!$C:$C,A831)</f>
        <v>1</v>
      </c>
      <c r="F831" s="16">
        <f>SUMIFS(orders!$M:$M,orders!$C:$C,A831)</f>
        <v>10.754999999999999</v>
      </c>
      <c r="G831" s="14" t="str">
        <f>INDEX(orders!$P:$P,MATCH(A831,orders!$C:$C,0))</f>
        <v>No</v>
      </c>
      <c r="H831" s="17">
        <f t="shared" si="74"/>
        <v>2</v>
      </c>
      <c r="I831" s="14">
        <f t="shared" si="75"/>
        <v>1</v>
      </c>
      <c r="J831">
        <f t="shared" si="76"/>
        <v>1</v>
      </c>
      <c r="K831" s="14">
        <f t="shared" si="77"/>
        <v>4</v>
      </c>
      <c r="L831" t="str">
        <f t="shared" si="78"/>
        <v>Lapsed One-Time Buyers</v>
      </c>
    </row>
    <row r="832" spans="1:12" x14ac:dyDescent="0.3">
      <c r="A832" s="12" t="s">
        <v>3148</v>
      </c>
      <c r="B832" s="14" t="str">
        <f>INDEX(orders!$F:$F,MATCH(A832,orders!$C:$C,0))</f>
        <v>Alberto Hutchinson</v>
      </c>
      <c r="C832" s="15">
        <f>_xlfn.MAXIFS(orders!$B:$B,orders!$C:$C,A832)</f>
        <v>44656</v>
      </c>
      <c r="D832" s="14">
        <f t="shared" si="73"/>
        <v>137</v>
      </c>
      <c r="E832" s="14">
        <f>COUNTIFS(orders!$C:$C,A832)</f>
        <v>1</v>
      </c>
      <c r="F832" s="16">
        <f>SUMIFS(orders!$M:$M,orders!$C:$C,A832)</f>
        <v>6.75</v>
      </c>
      <c r="G832" s="14" t="str">
        <f>INDEX(orders!$P:$P,MATCH(A832,orders!$C:$C,0))</f>
        <v>Yes</v>
      </c>
      <c r="H832" s="17">
        <f t="shared" si="74"/>
        <v>5</v>
      </c>
      <c r="I832" s="14">
        <f t="shared" si="75"/>
        <v>1</v>
      </c>
      <c r="J832">
        <f t="shared" si="76"/>
        <v>1</v>
      </c>
      <c r="K832" s="14">
        <f t="shared" si="77"/>
        <v>7</v>
      </c>
      <c r="L832" t="str">
        <f t="shared" si="78"/>
        <v>Standard One-Time Buyers</v>
      </c>
    </row>
    <row r="833" spans="1:12" x14ac:dyDescent="0.3">
      <c r="A833" s="12" t="s">
        <v>5775</v>
      </c>
      <c r="B833" s="14" t="str">
        <f>INDEX(orders!$F:$F,MATCH(A833,orders!$C:$C,0))</f>
        <v>Michale Delves</v>
      </c>
      <c r="C833" s="15">
        <f>_xlfn.MAXIFS(orders!$B:$B,orders!$C:$C,A833)</f>
        <v>44153</v>
      </c>
      <c r="D833" s="14">
        <f t="shared" si="73"/>
        <v>640</v>
      </c>
      <c r="E833" s="14">
        <f>COUNTIFS(orders!$C:$C,A833)</f>
        <v>1</v>
      </c>
      <c r="F833" s="16">
        <f>SUMIFS(orders!$M:$M,orders!$C:$C,A833)</f>
        <v>155.24999999999997</v>
      </c>
      <c r="G833" s="14" t="str">
        <f>INDEX(orders!$P:$P,MATCH(A833,orders!$C:$C,0))</f>
        <v>Yes</v>
      </c>
      <c r="H833" s="17">
        <f t="shared" si="74"/>
        <v>3</v>
      </c>
      <c r="I833" s="14">
        <f t="shared" si="75"/>
        <v>1</v>
      </c>
      <c r="J833">
        <f t="shared" si="76"/>
        <v>5</v>
      </c>
      <c r="K833" s="14">
        <f t="shared" si="77"/>
        <v>9</v>
      </c>
      <c r="L833" t="str">
        <f t="shared" si="78"/>
        <v>Standard One-Time Buyers</v>
      </c>
    </row>
    <row r="834" spans="1:12" x14ac:dyDescent="0.3">
      <c r="A834" s="12" t="s">
        <v>4718</v>
      </c>
      <c r="B834" s="14" t="str">
        <f>INDEX(orders!$F:$F,MATCH(A834,orders!$C:$C,0))</f>
        <v>Felita Eshmade</v>
      </c>
      <c r="C834" s="15">
        <f>_xlfn.MAXIFS(orders!$B:$B,orders!$C:$C,A834)</f>
        <v>44074</v>
      </c>
      <c r="D834" s="14">
        <f t="shared" si="73"/>
        <v>719</v>
      </c>
      <c r="E834" s="14">
        <f>COUNTIFS(orders!$C:$C,A834)</f>
        <v>1</v>
      </c>
      <c r="F834" s="16">
        <f>SUMIFS(orders!$M:$M,orders!$C:$C,A834)</f>
        <v>14.58</v>
      </c>
      <c r="G834" s="14" t="str">
        <f>INDEX(orders!$P:$P,MATCH(A834,orders!$C:$C,0))</f>
        <v>No</v>
      </c>
      <c r="H834" s="17">
        <f t="shared" si="74"/>
        <v>3</v>
      </c>
      <c r="I834" s="14">
        <f t="shared" si="75"/>
        <v>1</v>
      </c>
      <c r="J834">
        <f t="shared" si="76"/>
        <v>2</v>
      </c>
      <c r="K834" s="14">
        <f t="shared" si="77"/>
        <v>6</v>
      </c>
      <c r="L834" t="str">
        <f t="shared" si="78"/>
        <v>Standard One-Time Buyers</v>
      </c>
    </row>
    <row r="835" spans="1:12" x14ac:dyDescent="0.3">
      <c r="A835" s="12" t="s">
        <v>3924</v>
      </c>
      <c r="B835" s="14" t="str">
        <f>INDEX(orders!$F:$F,MATCH(A835,orders!$C:$C,0))</f>
        <v>Billy Neiland</v>
      </c>
      <c r="C835" s="15">
        <f>_xlfn.MAXIFS(orders!$B:$B,orders!$C:$C,A835)</f>
        <v>44608</v>
      </c>
      <c r="D835" s="14">
        <f t="shared" si="73"/>
        <v>185</v>
      </c>
      <c r="E835" s="14">
        <f>COUNTIFS(orders!$C:$C,A835)</f>
        <v>1</v>
      </c>
      <c r="F835" s="16">
        <f>SUMIFS(orders!$M:$M,orders!$C:$C,A835)</f>
        <v>55.89</v>
      </c>
      <c r="G835" s="14" t="str">
        <f>INDEX(orders!$P:$P,MATCH(A835,orders!$C:$C,0))</f>
        <v>No</v>
      </c>
      <c r="H835" s="17">
        <f t="shared" si="74"/>
        <v>5</v>
      </c>
      <c r="I835" s="14">
        <f t="shared" si="75"/>
        <v>1</v>
      </c>
      <c r="J835">
        <f t="shared" si="76"/>
        <v>4</v>
      </c>
      <c r="K835" s="14">
        <f t="shared" si="77"/>
        <v>10</v>
      </c>
      <c r="L835" t="str">
        <f t="shared" si="78"/>
        <v>Recent High-Value (One-Time)</v>
      </c>
    </row>
    <row r="836" spans="1:12" x14ac:dyDescent="0.3">
      <c r="A836" s="12" t="s">
        <v>5451</v>
      </c>
      <c r="B836" s="14" t="str">
        <f>INDEX(orders!$F:$F,MATCH(A836,orders!$C:$C,0))</f>
        <v>Zachary Tramel</v>
      </c>
      <c r="C836" s="15">
        <f>_xlfn.MAXIFS(orders!$B:$B,orders!$C:$C,A836)</f>
        <v>44411</v>
      </c>
      <c r="D836" s="14">
        <f t="shared" si="73"/>
        <v>382</v>
      </c>
      <c r="E836" s="14">
        <f>COUNTIFS(orders!$C:$C,A836)</f>
        <v>1</v>
      </c>
      <c r="F836" s="16">
        <f>SUMIFS(orders!$M:$M,orders!$C:$C,A836)</f>
        <v>28.53</v>
      </c>
      <c r="G836" s="14" t="str">
        <f>INDEX(orders!$P:$P,MATCH(A836,orders!$C:$C,0))</f>
        <v>No</v>
      </c>
      <c r="H836" s="17">
        <f t="shared" si="74"/>
        <v>4</v>
      </c>
      <c r="I836" s="14">
        <f t="shared" si="75"/>
        <v>1</v>
      </c>
      <c r="J836">
        <f t="shared" si="76"/>
        <v>3</v>
      </c>
      <c r="K836" s="14">
        <f t="shared" si="77"/>
        <v>8</v>
      </c>
      <c r="L836" t="str">
        <f t="shared" si="78"/>
        <v>Standard One-Time Buyers</v>
      </c>
    </row>
    <row r="837" spans="1:12" x14ac:dyDescent="0.3">
      <c r="A837" s="12" t="s">
        <v>3690</v>
      </c>
      <c r="B837" s="14" t="str">
        <f>INDEX(orders!$F:$F,MATCH(A837,orders!$C:$C,0))</f>
        <v>Audra Kelston</v>
      </c>
      <c r="C837" s="15">
        <f>_xlfn.MAXIFS(orders!$B:$B,orders!$C:$C,A837)</f>
        <v>44459</v>
      </c>
      <c r="D837" s="14">
        <f t="shared" si="73"/>
        <v>334</v>
      </c>
      <c r="E837" s="14">
        <f>COUNTIFS(orders!$C:$C,A837)</f>
        <v>1</v>
      </c>
      <c r="F837" s="16">
        <f>SUMIFS(orders!$M:$M,orders!$C:$C,A837)</f>
        <v>20.25</v>
      </c>
      <c r="G837" s="14" t="str">
        <f>INDEX(orders!$P:$P,MATCH(A837,orders!$C:$C,0))</f>
        <v>Yes</v>
      </c>
      <c r="H837" s="17">
        <f t="shared" si="74"/>
        <v>4</v>
      </c>
      <c r="I837" s="14">
        <f t="shared" si="75"/>
        <v>1</v>
      </c>
      <c r="J837">
        <f t="shared" si="76"/>
        <v>2</v>
      </c>
      <c r="K837" s="14">
        <f t="shared" si="77"/>
        <v>7</v>
      </c>
      <c r="L837" t="str">
        <f t="shared" si="78"/>
        <v>Standard One-Time Buyers</v>
      </c>
    </row>
    <row r="838" spans="1:12" x14ac:dyDescent="0.3">
      <c r="A838" s="12" t="s">
        <v>1766</v>
      </c>
      <c r="B838" s="14" t="str">
        <f>INDEX(orders!$F:$F,MATCH(A838,orders!$C:$C,0))</f>
        <v>Anabelle Hutchens</v>
      </c>
      <c r="C838" s="15">
        <f>_xlfn.MAXIFS(orders!$B:$B,orders!$C:$C,A838)</f>
        <v>43887</v>
      </c>
      <c r="D838" s="14">
        <f t="shared" ref="D838:D901" si="79">$B$1-C838</f>
        <v>906</v>
      </c>
      <c r="E838" s="14">
        <f>COUNTIFS(orders!$C:$C,A838)</f>
        <v>1</v>
      </c>
      <c r="F838" s="16">
        <f>SUMIFS(orders!$M:$M,orders!$C:$C,A838)</f>
        <v>129.37499999999997</v>
      </c>
      <c r="G838" s="14" t="str">
        <f>INDEX(orders!$P:$P,MATCH(A838,orders!$C:$C,0))</f>
        <v>No</v>
      </c>
      <c r="H838" s="17">
        <f t="shared" ref="H838:H901" si="80">IF(D838&lt;=$E$1,5,IF(D838&lt;=$F$1,4,IF(D838&lt;=$G$1,3,IF(D838&lt;=$H$1,2,1))))</f>
        <v>2</v>
      </c>
      <c r="I838" s="14">
        <f t="shared" ref="I838:I901" si="81">IF(E838&lt;=1,1,IF(E838&lt;=2,3,5))</f>
        <v>1</v>
      </c>
      <c r="J838">
        <f t="shared" ref="J838:J901" si="82">IF(F838&lt;=PERCENTILE($F$5:$F$917,0.2),1,IF(F838&lt;=PERCENTILE($F$5:$F$917,0.4),2,IF(F838&lt;=PERCENTILE($F$5:$F$917,0.6),3,IF(F838&lt;=PERCENTILE($F$5:$F$917,0.8),4,5))))</f>
        <v>5</v>
      </c>
      <c r="K838" s="14">
        <f t="shared" ref="K838:K901" si="83">H838+I838+J838</f>
        <v>8</v>
      </c>
      <c r="L838" t="str">
        <f t="shared" ref="L838:L901" si="84">IF(AND(E838&gt;=2,H838&gt;=4),"Loyal Repeat Customers",IF(E838&gt;=2,"At-Risk Repeat Customers",IF(AND(H838&gt;=4,J838&gt;=4),"Recent High-Value (One-Time)",IF(H838&lt;=2,"Lapsed One-Time Buyers","Standard One-Time Buyers"))))</f>
        <v>Lapsed One-Time Buyers</v>
      </c>
    </row>
    <row r="839" spans="1:12" x14ac:dyDescent="0.3">
      <c r="A839" s="12" t="s">
        <v>3906</v>
      </c>
      <c r="B839" s="14" t="str">
        <f>INDEX(orders!$F:$F,MATCH(A839,orders!$C:$C,0))</f>
        <v>Wang Powlesland</v>
      </c>
      <c r="C839" s="15">
        <f>_xlfn.MAXIFS(orders!$B:$B,orders!$C:$C,A839)</f>
        <v>44028</v>
      </c>
      <c r="D839" s="14">
        <f t="shared" si="79"/>
        <v>765</v>
      </c>
      <c r="E839" s="14">
        <f>COUNTIFS(orders!$C:$C,A839)</f>
        <v>1</v>
      </c>
      <c r="F839" s="16">
        <f>SUMIFS(orders!$M:$M,orders!$C:$C,A839)</f>
        <v>148.92499999999998</v>
      </c>
      <c r="G839" s="14" t="str">
        <f>INDEX(orders!$P:$P,MATCH(A839,orders!$C:$C,0))</f>
        <v>Yes</v>
      </c>
      <c r="H839" s="17">
        <f t="shared" si="80"/>
        <v>3</v>
      </c>
      <c r="I839" s="14">
        <f t="shared" si="81"/>
        <v>1</v>
      </c>
      <c r="J839">
        <f t="shared" si="82"/>
        <v>5</v>
      </c>
      <c r="K839" s="14">
        <f t="shared" si="83"/>
        <v>9</v>
      </c>
      <c r="L839" t="str">
        <f t="shared" si="84"/>
        <v>Standard One-Time Buyers</v>
      </c>
    </row>
    <row r="840" spans="1:12" x14ac:dyDescent="0.3">
      <c r="A840" s="12" t="s">
        <v>3272</v>
      </c>
      <c r="B840" s="14" t="str">
        <f>INDEX(orders!$F:$F,MATCH(A840,orders!$C:$C,0))</f>
        <v>Uriah Lethbrig</v>
      </c>
      <c r="C840" s="15">
        <f>_xlfn.MAXIFS(orders!$B:$B,orders!$C:$C,A840)</f>
        <v>44620</v>
      </c>
      <c r="D840" s="14">
        <f t="shared" si="79"/>
        <v>173</v>
      </c>
      <c r="E840" s="14">
        <f>COUNTIFS(orders!$C:$C,A840)</f>
        <v>1</v>
      </c>
      <c r="F840" s="16">
        <f>SUMIFS(orders!$M:$M,orders!$C:$C,A840)</f>
        <v>4.125</v>
      </c>
      <c r="G840" s="14" t="str">
        <f>INDEX(orders!$P:$P,MATCH(A840,orders!$C:$C,0))</f>
        <v>Yes</v>
      </c>
      <c r="H840" s="17">
        <f t="shared" si="80"/>
        <v>5</v>
      </c>
      <c r="I840" s="14">
        <f t="shared" si="81"/>
        <v>1</v>
      </c>
      <c r="J840">
        <f t="shared" si="82"/>
        <v>1</v>
      </c>
      <c r="K840" s="14">
        <f t="shared" si="83"/>
        <v>7</v>
      </c>
      <c r="L840" t="str">
        <f t="shared" si="84"/>
        <v>Standard One-Time Buyers</v>
      </c>
    </row>
    <row r="841" spans="1:12" x14ac:dyDescent="0.3">
      <c r="A841" s="12" t="s">
        <v>1267</v>
      </c>
      <c r="B841" s="14" t="str">
        <f>INDEX(orders!$F:$F,MATCH(A841,orders!$C:$C,0))</f>
        <v>Abraham Coleman</v>
      </c>
      <c r="C841" s="15">
        <f>_xlfn.MAXIFS(orders!$B:$B,orders!$C:$C,A841)</f>
        <v>44238</v>
      </c>
      <c r="D841" s="14">
        <f t="shared" si="79"/>
        <v>555</v>
      </c>
      <c r="E841" s="14">
        <f>COUNTIFS(orders!$C:$C,A841)</f>
        <v>1</v>
      </c>
      <c r="F841" s="16">
        <f>SUMIFS(orders!$M:$M,orders!$C:$C,A841)</f>
        <v>48.6</v>
      </c>
      <c r="G841" s="14" t="str">
        <f>INDEX(orders!$P:$P,MATCH(A841,orders!$C:$C,0))</f>
        <v>No</v>
      </c>
      <c r="H841" s="17">
        <f t="shared" si="80"/>
        <v>3</v>
      </c>
      <c r="I841" s="14">
        <f t="shared" si="81"/>
        <v>1</v>
      </c>
      <c r="J841">
        <f t="shared" si="82"/>
        <v>4</v>
      </c>
      <c r="K841" s="14">
        <f t="shared" si="83"/>
        <v>8</v>
      </c>
      <c r="L841" t="str">
        <f t="shared" si="84"/>
        <v>Standard One-Time Buyers</v>
      </c>
    </row>
    <row r="842" spans="1:12" x14ac:dyDescent="0.3">
      <c r="A842" s="12" t="s">
        <v>2403</v>
      </c>
      <c r="B842" s="14" t="str">
        <f>INDEX(orders!$F:$F,MATCH(A842,orders!$C:$C,0))</f>
        <v>Emmaline Rasmus</v>
      </c>
      <c r="C842" s="15">
        <f>_xlfn.MAXIFS(orders!$B:$B,orders!$C:$C,A842)</f>
        <v>44256</v>
      </c>
      <c r="D842" s="14">
        <f t="shared" si="79"/>
        <v>537</v>
      </c>
      <c r="E842" s="14">
        <f>COUNTIFS(orders!$C:$C,A842)</f>
        <v>1</v>
      </c>
      <c r="F842" s="16">
        <f>SUMIFS(orders!$M:$M,orders!$C:$C,A842)</f>
        <v>7.29</v>
      </c>
      <c r="G842" s="14" t="str">
        <f>INDEX(orders!$P:$P,MATCH(A842,orders!$C:$C,0))</f>
        <v>Yes</v>
      </c>
      <c r="H842" s="17">
        <f t="shared" si="80"/>
        <v>3</v>
      </c>
      <c r="I842" s="14">
        <f t="shared" si="81"/>
        <v>1</v>
      </c>
      <c r="J842">
        <f t="shared" si="82"/>
        <v>1</v>
      </c>
      <c r="K842" s="14">
        <f t="shared" si="83"/>
        <v>5</v>
      </c>
      <c r="L842" t="str">
        <f t="shared" si="84"/>
        <v>Standard One-Time Buyers</v>
      </c>
    </row>
    <row r="843" spans="1:12" x14ac:dyDescent="0.3">
      <c r="A843" s="12" t="s">
        <v>5544</v>
      </c>
      <c r="B843" s="14" t="str">
        <f>INDEX(orders!$F:$F,MATCH(A843,orders!$C:$C,0))</f>
        <v>Raphaela Schankelborg</v>
      </c>
      <c r="C843" s="15">
        <f>_xlfn.MAXIFS(orders!$B:$B,orders!$C:$C,A843)</f>
        <v>44651</v>
      </c>
      <c r="D843" s="14">
        <f t="shared" si="79"/>
        <v>142</v>
      </c>
      <c r="E843" s="14">
        <f>COUNTIFS(orders!$C:$C,A843)</f>
        <v>1</v>
      </c>
      <c r="F843" s="16">
        <f>SUMIFS(orders!$M:$M,orders!$C:$C,A843)</f>
        <v>57.06</v>
      </c>
      <c r="G843" s="14" t="str">
        <f>INDEX(orders!$P:$P,MATCH(A843,orders!$C:$C,0))</f>
        <v>Yes</v>
      </c>
      <c r="H843" s="17">
        <f t="shared" si="80"/>
        <v>5</v>
      </c>
      <c r="I843" s="14">
        <f t="shared" si="81"/>
        <v>1</v>
      </c>
      <c r="J843">
        <f t="shared" si="82"/>
        <v>4</v>
      </c>
      <c r="K843" s="14">
        <f t="shared" si="83"/>
        <v>10</v>
      </c>
      <c r="L843" t="str">
        <f t="shared" si="84"/>
        <v>Recent High-Value (One-Time)</v>
      </c>
    </row>
    <row r="844" spans="1:12" x14ac:dyDescent="0.3">
      <c r="A844" s="12" t="s">
        <v>767</v>
      </c>
      <c r="B844" s="14" t="str">
        <f>INDEX(orders!$F:$F,MATCH(A844,orders!$C:$C,0))</f>
        <v>Isis Pikett</v>
      </c>
      <c r="C844" s="15">
        <f>_xlfn.MAXIFS(orders!$B:$B,orders!$C:$C,A844)</f>
        <v>44790</v>
      </c>
      <c r="D844" s="14">
        <f t="shared" si="79"/>
        <v>3</v>
      </c>
      <c r="E844" s="14">
        <f>COUNTIFS(orders!$C:$C,A844)</f>
        <v>1</v>
      </c>
      <c r="F844" s="16">
        <f>SUMIFS(orders!$M:$M,orders!$C:$C,A844)</f>
        <v>38.849999999999994</v>
      </c>
      <c r="G844" s="14" t="str">
        <f>INDEX(orders!$P:$P,MATCH(A844,orders!$C:$C,0))</f>
        <v>No</v>
      </c>
      <c r="H844" s="17">
        <f t="shared" si="80"/>
        <v>5</v>
      </c>
      <c r="I844" s="14">
        <f t="shared" si="81"/>
        <v>1</v>
      </c>
      <c r="J844">
        <f t="shared" si="82"/>
        <v>3</v>
      </c>
      <c r="K844" s="14">
        <f t="shared" si="83"/>
        <v>9</v>
      </c>
      <c r="L844" t="str">
        <f t="shared" si="84"/>
        <v>Standard One-Time Buyers</v>
      </c>
    </row>
    <row r="845" spans="1:12" x14ac:dyDescent="0.3">
      <c r="A845" s="12" t="s">
        <v>3779</v>
      </c>
      <c r="B845" s="14" t="str">
        <f>INDEX(orders!$F:$F,MATCH(A845,orders!$C:$C,0))</f>
        <v>Russell Donet</v>
      </c>
      <c r="C845" s="15">
        <f>_xlfn.MAXIFS(orders!$B:$B,orders!$C:$C,A845)</f>
        <v>44382</v>
      </c>
      <c r="D845" s="14">
        <f t="shared" si="79"/>
        <v>411</v>
      </c>
      <c r="E845" s="14">
        <f>COUNTIFS(orders!$C:$C,A845)</f>
        <v>1</v>
      </c>
      <c r="F845" s="16">
        <f>SUMIFS(orders!$M:$M,orders!$C:$C,A845)</f>
        <v>60.75</v>
      </c>
      <c r="G845" s="14" t="str">
        <f>INDEX(orders!$P:$P,MATCH(A845,orders!$C:$C,0))</f>
        <v>No</v>
      </c>
      <c r="H845" s="17">
        <f t="shared" si="80"/>
        <v>4</v>
      </c>
      <c r="I845" s="14">
        <f t="shared" si="81"/>
        <v>1</v>
      </c>
      <c r="J845">
        <f t="shared" si="82"/>
        <v>4</v>
      </c>
      <c r="K845" s="14">
        <f t="shared" si="83"/>
        <v>9</v>
      </c>
      <c r="L845" t="str">
        <f t="shared" si="84"/>
        <v>Recent High-Value (One-Time)</v>
      </c>
    </row>
    <row r="846" spans="1:12" x14ac:dyDescent="0.3">
      <c r="A846" s="12" t="s">
        <v>4837</v>
      </c>
      <c r="B846" s="14" t="str">
        <f>INDEX(orders!$F:$F,MATCH(A846,orders!$C:$C,0))</f>
        <v>Dalia Eburah</v>
      </c>
      <c r="C846" s="15">
        <f>_xlfn.MAXIFS(orders!$B:$B,orders!$C:$C,A846)</f>
        <v>43912</v>
      </c>
      <c r="D846" s="14">
        <f t="shared" si="79"/>
        <v>881</v>
      </c>
      <c r="E846" s="14">
        <f>COUNTIFS(orders!$C:$C,A846)</f>
        <v>1</v>
      </c>
      <c r="F846" s="16">
        <f>SUMIFS(orders!$M:$M,orders!$C:$C,A846)</f>
        <v>137.31</v>
      </c>
      <c r="G846" s="14" t="str">
        <f>INDEX(orders!$P:$P,MATCH(A846,orders!$C:$C,0))</f>
        <v>No</v>
      </c>
      <c r="H846" s="17">
        <f t="shared" si="80"/>
        <v>2</v>
      </c>
      <c r="I846" s="14">
        <f t="shared" si="81"/>
        <v>1</v>
      </c>
      <c r="J846">
        <f t="shared" si="82"/>
        <v>5</v>
      </c>
      <c r="K846" s="14">
        <f t="shared" si="83"/>
        <v>8</v>
      </c>
      <c r="L846" t="str">
        <f t="shared" si="84"/>
        <v>Lapsed One-Time Buyers</v>
      </c>
    </row>
    <row r="847" spans="1:12" x14ac:dyDescent="0.3">
      <c r="A847" s="12" t="s">
        <v>961</v>
      </c>
      <c r="B847" s="14" t="str">
        <f>INDEX(orders!$F:$F,MATCH(A847,orders!$C:$C,0))</f>
        <v>Hally Lorait</v>
      </c>
      <c r="C847" s="15">
        <f>_xlfn.MAXIFS(orders!$B:$B,orders!$C:$C,A847)</f>
        <v>43933</v>
      </c>
      <c r="D847" s="14">
        <f t="shared" si="79"/>
        <v>860</v>
      </c>
      <c r="E847" s="14">
        <f>COUNTIFS(orders!$C:$C,A847)</f>
        <v>1</v>
      </c>
      <c r="F847" s="16">
        <f>SUMIFS(orders!$M:$M,orders!$C:$C,A847)</f>
        <v>82.339999999999989</v>
      </c>
      <c r="G847" s="14" t="str">
        <f>INDEX(orders!$P:$P,MATCH(A847,orders!$C:$C,0))</f>
        <v>Yes</v>
      </c>
      <c r="H847" s="17">
        <f t="shared" si="80"/>
        <v>2</v>
      </c>
      <c r="I847" s="14">
        <f t="shared" si="81"/>
        <v>1</v>
      </c>
      <c r="J847">
        <f t="shared" si="82"/>
        <v>5</v>
      </c>
      <c r="K847" s="14">
        <f t="shared" si="83"/>
        <v>8</v>
      </c>
      <c r="L847" t="str">
        <f t="shared" si="84"/>
        <v>Lapsed One-Time Buyers</v>
      </c>
    </row>
    <row r="848" spans="1:12" x14ac:dyDescent="0.3">
      <c r="A848" s="12" t="s">
        <v>4788</v>
      </c>
      <c r="B848" s="14" t="str">
        <f>INDEX(orders!$F:$F,MATCH(A848,orders!$C:$C,0))</f>
        <v>Arlana Ferrea</v>
      </c>
      <c r="C848" s="15">
        <f>_xlfn.MAXIFS(orders!$B:$B,orders!$C:$C,A848)</f>
        <v>44189</v>
      </c>
      <c r="D848" s="14">
        <f t="shared" si="79"/>
        <v>604</v>
      </c>
      <c r="E848" s="14">
        <f>COUNTIFS(orders!$C:$C,A848)</f>
        <v>1</v>
      </c>
      <c r="F848" s="16">
        <f>SUMIFS(orders!$M:$M,orders!$C:$C,A848)</f>
        <v>44.55</v>
      </c>
      <c r="G848" s="14" t="str">
        <f>INDEX(orders!$P:$P,MATCH(A848,orders!$C:$C,0))</f>
        <v>No</v>
      </c>
      <c r="H848" s="17">
        <f t="shared" si="80"/>
        <v>3</v>
      </c>
      <c r="I848" s="14">
        <f t="shared" si="81"/>
        <v>1</v>
      </c>
      <c r="J848">
        <f t="shared" si="82"/>
        <v>4</v>
      </c>
      <c r="K848" s="14">
        <f t="shared" si="83"/>
        <v>8</v>
      </c>
      <c r="L848" t="str">
        <f t="shared" si="84"/>
        <v>Standard One-Time Buyers</v>
      </c>
    </row>
    <row r="849" spans="1:12" x14ac:dyDescent="0.3">
      <c r="A849" s="12" t="s">
        <v>5514</v>
      </c>
      <c r="B849" s="14" t="str">
        <f>INDEX(orders!$F:$F,MATCH(A849,orders!$C:$C,0))</f>
        <v>Blake Kelloway</v>
      </c>
      <c r="C849" s="15">
        <f>_xlfn.MAXIFS(orders!$B:$B,orders!$C:$C,A849)</f>
        <v>44292</v>
      </c>
      <c r="D849" s="14">
        <f t="shared" si="79"/>
        <v>501</v>
      </c>
      <c r="E849" s="14">
        <f>COUNTIFS(orders!$C:$C,A849)</f>
        <v>1</v>
      </c>
      <c r="F849" s="16">
        <f>SUMIFS(orders!$M:$M,orders!$C:$C,A849)</f>
        <v>7.77</v>
      </c>
      <c r="G849" s="14" t="str">
        <f>INDEX(orders!$P:$P,MATCH(A849,orders!$C:$C,0))</f>
        <v>Yes</v>
      </c>
      <c r="H849" s="17">
        <f t="shared" si="80"/>
        <v>4</v>
      </c>
      <c r="I849" s="14">
        <f t="shared" si="81"/>
        <v>1</v>
      </c>
      <c r="J849">
        <f t="shared" si="82"/>
        <v>1</v>
      </c>
      <c r="K849" s="14">
        <f t="shared" si="83"/>
        <v>6</v>
      </c>
      <c r="L849" t="str">
        <f t="shared" si="84"/>
        <v>Standard One-Time Buyers</v>
      </c>
    </row>
    <row r="850" spans="1:12" x14ac:dyDescent="0.3">
      <c r="A850" s="12" t="s">
        <v>1482</v>
      </c>
      <c r="B850" s="14" t="str">
        <f>INDEX(orders!$F:$F,MATCH(A850,orders!$C:$C,0))</f>
        <v>Odille Thynne</v>
      </c>
      <c r="C850" s="15">
        <f>_xlfn.MAXIFS(orders!$B:$B,orders!$C:$C,A850)</f>
        <v>43900</v>
      </c>
      <c r="D850" s="14">
        <f t="shared" si="79"/>
        <v>893</v>
      </c>
      <c r="E850" s="14">
        <f>COUNTIFS(orders!$C:$C,A850)</f>
        <v>1</v>
      </c>
      <c r="F850" s="16">
        <f>SUMIFS(orders!$M:$M,orders!$C:$C,A850)</f>
        <v>34.154999999999994</v>
      </c>
      <c r="G850" s="14" t="str">
        <f>INDEX(orders!$P:$P,MATCH(A850,orders!$C:$C,0))</f>
        <v>Yes</v>
      </c>
      <c r="H850" s="17">
        <f t="shared" si="80"/>
        <v>2</v>
      </c>
      <c r="I850" s="14">
        <f t="shared" si="81"/>
        <v>1</v>
      </c>
      <c r="J850">
        <f t="shared" si="82"/>
        <v>3</v>
      </c>
      <c r="K850" s="14">
        <f t="shared" si="83"/>
        <v>6</v>
      </c>
      <c r="L850" t="str">
        <f t="shared" si="84"/>
        <v>Lapsed One-Time Buyers</v>
      </c>
    </row>
    <row r="851" spans="1:12" x14ac:dyDescent="0.3">
      <c r="A851" s="12" t="s">
        <v>3719</v>
      </c>
      <c r="B851" s="14" t="str">
        <f>INDEX(orders!$F:$F,MATCH(A851,orders!$C:$C,0))</f>
        <v>Elizabet Aizikowitz</v>
      </c>
      <c r="C851" s="15">
        <f>_xlfn.MAXIFS(orders!$B:$B,orders!$C:$C,A851)</f>
        <v>44592</v>
      </c>
      <c r="D851" s="14">
        <f t="shared" si="79"/>
        <v>201</v>
      </c>
      <c r="E851" s="14">
        <f>COUNTIFS(orders!$C:$C,A851)</f>
        <v>1</v>
      </c>
      <c r="F851" s="16">
        <f>SUMIFS(orders!$M:$M,orders!$C:$C,A851)</f>
        <v>35.64</v>
      </c>
      <c r="G851" s="14" t="str">
        <f>INDEX(orders!$P:$P,MATCH(A851,orders!$C:$C,0))</f>
        <v>No</v>
      </c>
      <c r="H851" s="17">
        <f t="shared" si="80"/>
        <v>5</v>
      </c>
      <c r="I851" s="14">
        <f t="shared" si="81"/>
        <v>1</v>
      </c>
      <c r="J851">
        <f t="shared" si="82"/>
        <v>3</v>
      </c>
      <c r="K851" s="14">
        <f t="shared" si="83"/>
        <v>9</v>
      </c>
      <c r="L851" t="str">
        <f t="shared" si="84"/>
        <v>Standard One-Time Buyers</v>
      </c>
    </row>
    <row r="852" spans="1:12" x14ac:dyDescent="0.3">
      <c r="A852" s="12" t="s">
        <v>6014</v>
      </c>
      <c r="B852" s="14" t="str">
        <f>INDEX(orders!$F:$F,MATCH(A852,orders!$C:$C,0))</f>
        <v>Mab Blakemore</v>
      </c>
      <c r="C852" s="15">
        <f>_xlfn.MAXIFS(orders!$B:$B,orders!$C:$C,A852)</f>
        <v>44026</v>
      </c>
      <c r="D852" s="14">
        <f t="shared" si="79"/>
        <v>767</v>
      </c>
      <c r="E852" s="14">
        <f>COUNTIFS(orders!$C:$C,A852)</f>
        <v>1</v>
      </c>
      <c r="F852" s="16">
        <f>SUMIFS(orders!$M:$M,orders!$C:$C,A852)</f>
        <v>59.75</v>
      </c>
      <c r="G852" s="14" t="str">
        <f>INDEX(orders!$P:$P,MATCH(A852,orders!$C:$C,0))</f>
        <v>No</v>
      </c>
      <c r="H852" s="17">
        <f t="shared" si="80"/>
        <v>2</v>
      </c>
      <c r="I852" s="14">
        <f t="shared" si="81"/>
        <v>1</v>
      </c>
      <c r="J852">
        <f t="shared" si="82"/>
        <v>4</v>
      </c>
      <c r="K852" s="14">
        <f t="shared" si="83"/>
        <v>7</v>
      </c>
      <c r="L852" t="str">
        <f t="shared" si="84"/>
        <v>Lapsed One-Time Buyers</v>
      </c>
    </row>
    <row r="853" spans="1:12" x14ac:dyDescent="0.3">
      <c r="A853" s="12" t="s">
        <v>4412</v>
      </c>
      <c r="B853" s="14" t="str">
        <f>INDEX(orders!$F:$F,MATCH(A853,orders!$C:$C,0))</f>
        <v>Roxie Deaconson</v>
      </c>
      <c r="C853" s="15">
        <f>_xlfn.MAXIFS(orders!$B:$B,orders!$C:$C,A853)</f>
        <v>43915</v>
      </c>
      <c r="D853" s="14">
        <f t="shared" si="79"/>
        <v>878</v>
      </c>
      <c r="E853" s="14">
        <f>COUNTIFS(orders!$C:$C,A853)</f>
        <v>1</v>
      </c>
      <c r="F853" s="16">
        <f>SUMIFS(orders!$M:$M,orders!$C:$C,A853)</f>
        <v>36.450000000000003</v>
      </c>
      <c r="G853" s="14" t="str">
        <f>INDEX(orders!$P:$P,MATCH(A853,orders!$C:$C,0))</f>
        <v>No</v>
      </c>
      <c r="H853" s="17">
        <f t="shared" si="80"/>
        <v>2</v>
      </c>
      <c r="I853" s="14">
        <f t="shared" si="81"/>
        <v>1</v>
      </c>
      <c r="J853">
        <f t="shared" si="82"/>
        <v>3</v>
      </c>
      <c r="K853" s="14">
        <f t="shared" si="83"/>
        <v>6</v>
      </c>
      <c r="L853" t="str">
        <f t="shared" si="84"/>
        <v>Lapsed One-Time Buyers</v>
      </c>
    </row>
    <row r="854" spans="1:12" x14ac:dyDescent="0.3">
      <c r="A854" s="12" t="s">
        <v>2835</v>
      </c>
      <c r="B854" s="14" t="str">
        <f>INDEX(orders!$F:$F,MATCH(A854,orders!$C:$C,0))</f>
        <v>Reggis Pracy</v>
      </c>
      <c r="C854" s="15">
        <f>_xlfn.MAXIFS(orders!$B:$B,orders!$C:$C,A854)</f>
        <v>43901</v>
      </c>
      <c r="D854" s="14">
        <f t="shared" si="79"/>
        <v>892</v>
      </c>
      <c r="E854" s="14">
        <f>COUNTIFS(orders!$C:$C,A854)</f>
        <v>1</v>
      </c>
      <c r="F854" s="16">
        <f>SUMIFS(orders!$M:$M,orders!$C:$C,A854)</f>
        <v>23.31</v>
      </c>
      <c r="G854" s="14" t="str">
        <f>INDEX(orders!$P:$P,MATCH(A854,orders!$C:$C,0))</f>
        <v>Yes</v>
      </c>
      <c r="H854" s="17">
        <f t="shared" si="80"/>
        <v>2</v>
      </c>
      <c r="I854" s="14">
        <f t="shared" si="81"/>
        <v>1</v>
      </c>
      <c r="J854">
        <f t="shared" si="82"/>
        <v>2</v>
      </c>
      <c r="K854" s="14">
        <f t="shared" si="83"/>
        <v>5</v>
      </c>
      <c r="L854" t="str">
        <f t="shared" si="84"/>
        <v>Lapsed One-Time Buyers</v>
      </c>
    </row>
    <row r="855" spans="1:12" x14ac:dyDescent="0.3">
      <c r="A855" s="12" t="s">
        <v>3459</v>
      </c>
      <c r="B855" s="14" t="str">
        <f>INDEX(orders!$F:$F,MATCH(A855,orders!$C:$C,0))</f>
        <v>Edin Yantsurev</v>
      </c>
      <c r="C855" s="15">
        <f>_xlfn.MAXIFS(orders!$B:$B,orders!$C:$C,A855)</f>
        <v>44038</v>
      </c>
      <c r="D855" s="14">
        <f t="shared" si="79"/>
        <v>755</v>
      </c>
      <c r="E855" s="14">
        <f>COUNTIFS(orders!$C:$C,A855)</f>
        <v>1</v>
      </c>
      <c r="F855" s="16">
        <f>SUMIFS(orders!$M:$M,orders!$C:$C,A855)</f>
        <v>13.424999999999997</v>
      </c>
      <c r="G855" s="14" t="str">
        <f>INDEX(orders!$P:$P,MATCH(A855,orders!$C:$C,0))</f>
        <v>Yes</v>
      </c>
      <c r="H855" s="17">
        <f t="shared" si="80"/>
        <v>3</v>
      </c>
      <c r="I855" s="14">
        <f t="shared" si="81"/>
        <v>1</v>
      </c>
      <c r="J855">
        <f t="shared" si="82"/>
        <v>1</v>
      </c>
      <c r="K855" s="14">
        <f t="shared" si="83"/>
        <v>5</v>
      </c>
      <c r="L855" t="str">
        <f t="shared" si="84"/>
        <v>Standard One-Time Buyers</v>
      </c>
    </row>
    <row r="856" spans="1:12" x14ac:dyDescent="0.3">
      <c r="A856" s="12" t="s">
        <v>3855</v>
      </c>
      <c r="B856" s="14" t="str">
        <f>INDEX(orders!$F:$F,MATCH(A856,orders!$C:$C,0))</f>
        <v>Kienan Scholard</v>
      </c>
      <c r="C856" s="15">
        <f>_xlfn.MAXIFS(orders!$B:$B,orders!$C:$C,A856)</f>
        <v>44523</v>
      </c>
      <c r="D856" s="14">
        <f t="shared" si="79"/>
        <v>270</v>
      </c>
      <c r="E856" s="14">
        <f>COUNTIFS(orders!$C:$C,A856)</f>
        <v>1</v>
      </c>
      <c r="F856" s="16">
        <f>SUMIFS(orders!$M:$M,orders!$C:$C,A856)</f>
        <v>33.75</v>
      </c>
      <c r="G856" s="14" t="str">
        <f>INDEX(orders!$P:$P,MATCH(A856,orders!$C:$C,0))</f>
        <v>No</v>
      </c>
      <c r="H856" s="17">
        <f t="shared" si="80"/>
        <v>4</v>
      </c>
      <c r="I856" s="14">
        <f t="shared" si="81"/>
        <v>1</v>
      </c>
      <c r="J856">
        <f t="shared" si="82"/>
        <v>3</v>
      </c>
      <c r="K856" s="14">
        <f t="shared" si="83"/>
        <v>8</v>
      </c>
      <c r="L856" t="str">
        <f t="shared" si="84"/>
        <v>Standard One-Time Buyers</v>
      </c>
    </row>
    <row r="857" spans="1:12" x14ac:dyDescent="0.3">
      <c r="A857" s="12" t="s">
        <v>3362</v>
      </c>
      <c r="B857" s="14" t="str">
        <f>INDEX(orders!$F:$F,MATCH(A857,orders!$C:$C,0))</f>
        <v>Heall Perris</v>
      </c>
      <c r="C857" s="15">
        <f>_xlfn.MAXIFS(orders!$B:$B,orders!$C:$C,A857)</f>
        <v>44210</v>
      </c>
      <c r="D857" s="14">
        <f t="shared" si="79"/>
        <v>583</v>
      </c>
      <c r="E857" s="14">
        <f>COUNTIFS(orders!$C:$C,A857)</f>
        <v>1</v>
      </c>
      <c r="F857" s="16">
        <f>SUMIFS(orders!$M:$M,orders!$C:$C,A857)</f>
        <v>46.62</v>
      </c>
      <c r="G857" s="14" t="str">
        <f>INDEX(orders!$P:$P,MATCH(A857,orders!$C:$C,0))</f>
        <v>No</v>
      </c>
      <c r="H857" s="17">
        <f t="shared" si="80"/>
        <v>3</v>
      </c>
      <c r="I857" s="14">
        <f t="shared" si="81"/>
        <v>1</v>
      </c>
      <c r="J857">
        <f t="shared" si="82"/>
        <v>4</v>
      </c>
      <c r="K857" s="14">
        <f t="shared" si="83"/>
        <v>8</v>
      </c>
      <c r="L857" t="str">
        <f t="shared" si="84"/>
        <v>Standard One-Time Buyers</v>
      </c>
    </row>
    <row r="858" spans="1:12" x14ac:dyDescent="0.3">
      <c r="A858" s="12" t="s">
        <v>1113</v>
      </c>
      <c r="B858" s="14" t="str">
        <f>INDEX(orders!$F:$F,MATCH(A858,orders!$C:$C,0))</f>
        <v>Betty Fominov</v>
      </c>
      <c r="C858" s="15">
        <f>_xlfn.MAXIFS(orders!$B:$B,orders!$C:$C,A858)</f>
        <v>43642</v>
      </c>
      <c r="D858" s="14">
        <f t="shared" si="79"/>
        <v>1151</v>
      </c>
      <c r="E858" s="14">
        <f>COUNTIFS(orders!$C:$C,A858)</f>
        <v>1</v>
      </c>
      <c r="F858" s="16">
        <f>SUMIFS(orders!$M:$M,orders!$C:$C,A858)</f>
        <v>26.849999999999994</v>
      </c>
      <c r="G858" s="14" t="str">
        <f>INDEX(orders!$P:$P,MATCH(A858,orders!$C:$C,0))</f>
        <v>No</v>
      </c>
      <c r="H858" s="17">
        <f t="shared" si="80"/>
        <v>1</v>
      </c>
      <c r="I858" s="14">
        <f t="shared" si="81"/>
        <v>1</v>
      </c>
      <c r="J858">
        <f t="shared" si="82"/>
        <v>3</v>
      </c>
      <c r="K858" s="14">
        <f t="shared" si="83"/>
        <v>5</v>
      </c>
      <c r="L858" t="str">
        <f t="shared" si="84"/>
        <v>Lapsed One-Time Buyers</v>
      </c>
    </row>
    <row r="859" spans="1:12" x14ac:dyDescent="0.3">
      <c r="A859" s="12" t="s">
        <v>3600</v>
      </c>
      <c r="B859" s="14" t="str">
        <f>INDEX(orders!$F:$F,MATCH(A859,orders!$C:$C,0))</f>
        <v>Nick Brakespear</v>
      </c>
      <c r="C859" s="15">
        <f>_xlfn.MAXIFS(orders!$B:$B,orders!$C:$C,A859)</f>
        <v>44176</v>
      </c>
      <c r="D859" s="14">
        <f t="shared" si="79"/>
        <v>617</v>
      </c>
      <c r="E859" s="14">
        <f>COUNTIFS(orders!$C:$C,A859)</f>
        <v>1</v>
      </c>
      <c r="F859" s="16">
        <f>SUMIFS(orders!$M:$M,orders!$C:$C,A859)</f>
        <v>23.31</v>
      </c>
      <c r="G859" s="14" t="str">
        <f>INDEX(orders!$P:$P,MATCH(A859,orders!$C:$C,0))</f>
        <v>Yes</v>
      </c>
      <c r="H859" s="17">
        <f t="shared" si="80"/>
        <v>3</v>
      </c>
      <c r="I859" s="14">
        <f t="shared" si="81"/>
        <v>1</v>
      </c>
      <c r="J859">
        <f t="shared" si="82"/>
        <v>2</v>
      </c>
      <c r="K859" s="14">
        <f t="shared" si="83"/>
        <v>6</v>
      </c>
      <c r="L859" t="str">
        <f t="shared" si="84"/>
        <v>Standard One-Time Buyers</v>
      </c>
    </row>
    <row r="860" spans="1:12" x14ac:dyDescent="0.3">
      <c r="A860" s="12" t="s">
        <v>3226</v>
      </c>
      <c r="B860" s="14" t="str">
        <f>INDEX(orders!$F:$F,MATCH(A860,orders!$C:$C,0))</f>
        <v>Keefer Cake</v>
      </c>
      <c r="C860" s="15">
        <f>_xlfn.MAXIFS(orders!$B:$B,orders!$C:$C,A860)</f>
        <v>44479</v>
      </c>
      <c r="D860" s="14">
        <f t="shared" si="79"/>
        <v>314</v>
      </c>
      <c r="E860" s="14">
        <f>COUNTIFS(orders!$C:$C,A860)</f>
        <v>1</v>
      </c>
      <c r="F860" s="16">
        <f>SUMIFS(orders!$M:$M,orders!$C:$C,A860)</f>
        <v>57.06</v>
      </c>
      <c r="G860" s="14" t="str">
        <f>INDEX(orders!$P:$P,MATCH(A860,orders!$C:$C,0))</f>
        <v>No</v>
      </c>
      <c r="H860" s="17">
        <f t="shared" si="80"/>
        <v>4</v>
      </c>
      <c r="I860" s="14">
        <f t="shared" si="81"/>
        <v>1</v>
      </c>
      <c r="J860">
        <f t="shared" si="82"/>
        <v>4</v>
      </c>
      <c r="K860" s="14">
        <f t="shared" si="83"/>
        <v>9</v>
      </c>
      <c r="L860" t="str">
        <f t="shared" si="84"/>
        <v>Recent High-Value (One-Time)</v>
      </c>
    </row>
    <row r="861" spans="1:12" x14ac:dyDescent="0.3">
      <c r="A861" s="12" t="s">
        <v>2850</v>
      </c>
      <c r="B861" s="14" t="str">
        <f>INDEX(orders!$F:$F,MATCH(A861,orders!$C:$C,0))</f>
        <v>Annabella Danzey</v>
      </c>
      <c r="C861" s="15">
        <f>_xlfn.MAXIFS(orders!$B:$B,orders!$C:$C,A861)</f>
        <v>44739</v>
      </c>
      <c r="D861" s="14">
        <f t="shared" si="79"/>
        <v>54</v>
      </c>
      <c r="E861" s="14">
        <f>COUNTIFS(orders!$C:$C,A861)</f>
        <v>1</v>
      </c>
      <c r="F861" s="16">
        <f>SUMIFS(orders!$M:$M,orders!$C:$C,A861)</f>
        <v>8.73</v>
      </c>
      <c r="G861" s="14" t="str">
        <f>INDEX(orders!$P:$P,MATCH(A861,orders!$C:$C,0))</f>
        <v>Yes</v>
      </c>
      <c r="H861" s="17">
        <f t="shared" si="80"/>
        <v>5</v>
      </c>
      <c r="I861" s="14">
        <f t="shared" si="81"/>
        <v>1</v>
      </c>
      <c r="J861">
        <f t="shared" si="82"/>
        <v>1</v>
      </c>
      <c r="K861" s="14">
        <f t="shared" si="83"/>
        <v>7</v>
      </c>
      <c r="L861" t="str">
        <f t="shared" si="84"/>
        <v>Standard One-Time Buyers</v>
      </c>
    </row>
    <row r="862" spans="1:12" x14ac:dyDescent="0.3">
      <c r="A862" s="12" t="s">
        <v>2946</v>
      </c>
      <c r="B862" s="14" t="str">
        <f>INDEX(orders!$F:$F,MATCH(A862,orders!$C:$C,0))</f>
        <v>Orly Ryland</v>
      </c>
      <c r="C862" s="15">
        <f>_xlfn.MAXIFS(orders!$B:$B,orders!$C:$C,A862)</f>
        <v>44631</v>
      </c>
      <c r="D862" s="14">
        <f t="shared" si="79"/>
        <v>162</v>
      </c>
      <c r="E862" s="14">
        <f>COUNTIFS(orders!$C:$C,A862)</f>
        <v>1</v>
      </c>
      <c r="F862" s="16">
        <f>SUMIFS(orders!$M:$M,orders!$C:$C,A862)</f>
        <v>9.51</v>
      </c>
      <c r="G862" s="14" t="str">
        <f>INDEX(orders!$P:$P,MATCH(A862,orders!$C:$C,0))</f>
        <v>Yes</v>
      </c>
      <c r="H862" s="17">
        <f t="shared" si="80"/>
        <v>5</v>
      </c>
      <c r="I862" s="14">
        <f t="shared" si="81"/>
        <v>1</v>
      </c>
      <c r="J862">
        <f t="shared" si="82"/>
        <v>1</v>
      </c>
      <c r="K862" s="14">
        <f t="shared" si="83"/>
        <v>7</v>
      </c>
      <c r="L862" t="str">
        <f t="shared" si="84"/>
        <v>Standard One-Time Buyers</v>
      </c>
    </row>
    <row r="863" spans="1:12" x14ac:dyDescent="0.3">
      <c r="A863" s="12" t="s">
        <v>1873</v>
      </c>
      <c r="B863" s="14" t="str">
        <f>INDEX(orders!$F:$F,MATCH(A863,orders!$C:$C,0))</f>
        <v>Lexie Mallan</v>
      </c>
      <c r="C863" s="15">
        <f>_xlfn.MAXIFS(orders!$B:$B,orders!$C:$C,A863)</f>
        <v>43951</v>
      </c>
      <c r="D863" s="14">
        <f t="shared" si="79"/>
        <v>842</v>
      </c>
      <c r="E863" s="14">
        <f>COUNTIFS(orders!$C:$C,A863)</f>
        <v>1</v>
      </c>
      <c r="F863" s="16">
        <f>SUMIFS(orders!$M:$M,orders!$C:$C,A863)</f>
        <v>23.774999999999999</v>
      </c>
      <c r="G863" s="14" t="str">
        <f>INDEX(orders!$P:$P,MATCH(A863,orders!$C:$C,0))</f>
        <v>Yes</v>
      </c>
      <c r="H863" s="17">
        <f t="shared" si="80"/>
        <v>2</v>
      </c>
      <c r="I863" s="14">
        <f t="shared" si="81"/>
        <v>1</v>
      </c>
      <c r="J863">
        <f t="shared" si="82"/>
        <v>2</v>
      </c>
      <c r="K863" s="14">
        <f t="shared" si="83"/>
        <v>5</v>
      </c>
      <c r="L863" t="str">
        <f t="shared" si="84"/>
        <v>Lapsed One-Time Buyers</v>
      </c>
    </row>
    <row r="864" spans="1:12" x14ac:dyDescent="0.3">
      <c r="A864" s="12" t="s">
        <v>4212</v>
      </c>
      <c r="B864" s="14" t="str">
        <f>INDEX(orders!$F:$F,MATCH(A864,orders!$C:$C,0))</f>
        <v>Dollie Gadsden</v>
      </c>
      <c r="C864" s="15">
        <f>_xlfn.MAXIFS(orders!$B:$B,orders!$C:$C,A864)</f>
        <v>44693</v>
      </c>
      <c r="D864" s="14">
        <f t="shared" si="79"/>
        <v>100</v>
      </c>
      <c r="E864" s="14">
        <f>COUNTIFS(orders!$C:$C,A864)</f>
        <v>1</v>
      </c>
      <c r="F864" s="16">
        <f>SUMIFS(orders!$M:$M,orders!$C:$C,A864)</f>
        <v>45.769999999999996</v>
      </c>
      <c r="G864" s="14" t="str">
        <f>INDEX(orders!$P:$P,MATCH(A864,orders!$C:$C,0))</f>
        <v>Yes</v>
      </c>
      <c r="H864" s="17">
        <f t="shared" si="80"/>
        <v>5</v>
      </c>
      <c r="I864" s="14">
        <f t="shared" si="81"/>
        <v>1</v>
      </c>
      <c r="J864">
        <f t="shared" si="82"/>
        <v>4</v>
      </c>
      <c r="K864" s="14">
        <f t="shared" si="83"/>
        <v>10</v>
      </c>
      <c r="L864" t="str">
        <f t="shared" si="84"/>
        <v>Recent High-Value (One-Time)</v>
      </c>
    </row>
    <row r="865" spans="1:12" x14ac:dyDescent="0.3">
      <c r="A865" s="12" t="s">
        <v>5532</v>
      </c>
      <c r="B865" s="14" t="str">
        <f>INDEX(orders!$F:$F,MATCH(A865,orders!$C:$C,0))</f>
        <v>Celestia Dolohunty</v>
      </c>
      <c r="C865" s="15">
        <f>_xlfn.MAXIFS(orders!$B:$B,orders!$C:$C,A865)</f>
        <v>44469</v>
      </c>
      <c r="D865" s="14">
        <f t="shared" si="79"/>
        <v>324</v>
      </c>
      <c r="E865" s="14">
        <f>COUNTIFS(orders!$C:$C,A865)</f>
        <v>1</v>
      </c>
      <c r="F865" s="16">
        <f>SUMIFS(orders!$M:$M,orders!$C:$C,A865)</f>
        <v>114.42499999999998</v>
      </c>
      <c r="G865" s="14" t="str">
        <f>INDEX(orders!$P:$P,MATCH(A865,orders!$C:$C,0))</f>
        <v>Yes</v>
      </c>
      <c r="H865" s="17">
        <f t="shared" si="80"/>
        <v>4</v>
      </c>
      <c r="I865" s="14">
        <f t="shared" si="81"/>
        <v>1</v>
      </c>
      <c r="J865">
        <f t="shared" si="82"/>
        <v>5</v>
      </c>
      <c r="K865" s="14">
        <f t="shared" si="83"/>
        <v>10</v>
      </c>
      <c r="L865" t="str">
        <f t="shared" si="84"/>
        <v>Recent High-Value (One-Time)</v>
      </c>
    </row>
    <row r="866" spans="1:12" x14ac:dyDescent="0.3">
      <c r="A866" s="12" t="s">
        <v>1654</v>
      </c>
      <c r="B866" s="14" t="str">
        <f>INDEX(orders!$F:$F,MATCH(A866,orders!$C:$C,0))</f>
        <v>Orbadiah Duny</v>
      </c>
      <c r="C866" s="15">
        <f>_xlfn.MAXIFS(orders!$B:$B,orders!$C:$C,A866)</f>
        <v>44207</v>
      </c>
      <c r="D866" s="14">
        <f t="shared" si="79"/>
        <v>586</v>
      </c>
      <c r="E866" s="14">
        <f>COUNTIFS(orders!$C:$C,A866)</f>
        <v>1</v>
      </c>
      <c r="F866" s="16">
        <f>SUMIFS(orders!$M:$M,orders!$C:$C,A866)</f>
        <v>40.5</v>
      </c>
      <c r="G866" s="14" t="str">
        <f>INDEX(orders!$P:$P,MATCH(A866,orders!$C:$C,0))</f>
        <v>Yes</v>
      </c>
      <c r="H866" s="17">
        <f t="shared" si="80"/>
        <v>3</v>
      </c>
      <c r="I866" s="14">
        <f t="shared" si="81"/>
        <v>1</v>
      </c>
      <c r="J866">
        <f t="shared" si="82"/>
        <v>3</v>
      </c>
      <c r="K866" s="14">
        <f t="shared" si="83"/>
        <v>7</v>
      </c>
      <c r="L866" t="str">
        <f t="shared" si="84"/>
        <v>Standard One-Time Buyers</v>
      </c>
    </row>
    <row r="867" spans="1:12" x14ac:dyDescent="0.3">
      <c r="A867" s="12" t="s">
        <v>4558</v>
      </c>
      <c r="B867" s="14" t="str">
        <f>INDEX(orders!$F:$F,MATCH(A867,orders!$C:$C,0))</f>
        <v>Reynolds Crookshanks</v>
      </c>
      <c r="C867" s="15">
        <f>_xlfn.MAXIFS(orders!$B:$B,orders!$C:$C,A867)</f>
        <v>44215</v>
      </c>
      <c r="D867" s="14">
        <f t="shared" si="79"/>
        <v>578</v>
      </c>
      <c r="E867" s="14">
        <f>COUNTIFS(orders!$C:$C,A867)</f>
        <v>1</v>
      </c>
      <c r="F867" s="16">
        <f>SUMIFS(orders!$M:$M,orders!$C:$C,A867)</f>
        <v>36.450000000000003</v>
      </c>
      <c r="G867" s="14" t="str">
        <f>INDEX(orders!$P:$P,MATCH(A867,orders!$C:$C,0))</f>
        <v>Yes</v>
      </c>
      <c r="H867" s="17">
        <f t="shared" si="80"/>
        <v>3</v>
      </c>
      <c r="I867" s="14">
        <f t="shared" si="81"/>
        <v>1</v>
      </c>
      <c r="J867">
        <f t="shared" si="82"/>
        <v>3</v>
      </c>
      <c r="K867" s="14">
        <f t="shared" si="83"/>
        <v>7</v>
      </c>
      <c r="L867" t="str">
        <f t="shared" si="84"/>
        <v>Standard One-Time Buyers</v>
      </c>
    </row>
    <row r="868" spans="1:12" x14ac:dyDescent="0.3">
      <c r="A868" s="12" t="s">
        <v>2555</v>
      </c>
      <c r="B868" s="14" t="str">
        <f>INDEX(orders!$F:$F,MATCH(A868,orders!$C:$C,0))</f>
        <v>Saree Ellesworth</v>
      </c>
      <c r="C868" s="15">
        <f>_xlfn.MAXIFS(orders!$B:$B,orders!$C:$C,A868)</f>
        <v>43874</v>
      </c>
      <c r="D868" s="14">
        <f t="shared" si="79"/>
        <v>919</v>
      </c>
      <c r="E868" s="14">
        <f>COUNTIFS(orders!$C:$C,A868)</f>
        <v>1</v>
      </c>
      <c r="F868" s="16">
        <f>SUMIFS(orders!$M:$M,orders!$C:$C,A868)</f>
        <v>43.74</v>
      </c>
      <c r="G868" s="14" t="str">
        <f>INDEX(orders!$P:$P,MATCH(A868,orders!$C:$C,0))</f>
        <v>No</v>
      </c>
      <c r="H868" s="17">
        <f t="shared" si="80"/>
        <v>2</v>
      </c>
      <c r="I868" s="14">
        <f t="shared" si="81"/>
        <v>1</v>
      </c>
      <c r="J868">
        <f t="shared" si="82"/>
        <v>4</v>
      </c>
      <c r="K868" s="14">
        <f t="shared" si="83"/>
        <v>7</v>
      </c>
      <c r="L868" t="str">
        <f t="shared" si="84"/>
        <v>Lapsed One-Time Buyers</v>
      </c>
    </row>
    <row r="869" spans="1:12" x14ac:dyDescent="0.3">
      <c r="A869" s="12" t="s">
        <v>4287</v>
      </c>
      <c r="B869" s="14" t="str">
        <f>INDEX(orders!$F:$F,MATCH(A869,orders!$C:$C,0))</f>
        <v>Layne Imason</v>
      </c>
      <c r="C869" s="15">
        <f>_xlfn.MAXIFS(orders!$B:$B,orders!$C:$C,A869)</f>
        <v>43916</v>
      </c>
      <c r="D869" s="14">
        <f t="shared" si="79"/>
        <v>877</v>
      </c>
      <c r="E869" s="14">
        <f>COUNTIFS(orders!$C:$C,A869)</f>
        <v>1</v>
      </c>
      <c r="F869" s="16">
        <f>SUMIFS(orders!$M:$M,orders!$C:$C,A869)</f>
        <v>43.650000000000006</v>
      </c>
      <c r="G869" s="14" t="str">
        <f>INDEX(orders!$P:$P,MATCH(A869,orders!$C:$C,0))</f>
        <v>Yes</v>
      </c>
      <c r="H869" s="17">
        <f t="shared" si="80"/>
        <v>2</v>
      </c>
      <c r="I869" s="14">
        <f t="shared" si="81"/>
        <v>1</v>
      </c>
      <c r="J869">
        <f t="shared" si="82"/>
        <v>4</v>
      </c>
      <c r="K869" s="14">
        <f t="shared" si="83"/>
        <v>7</v>
      </c>
      <c r="L869" t="str">
        <f t="shared" si="84"/>
        <v>Lapsed One-Time Buyers</v>
      </c>
    </row>
    <row r="870" spans="1:12" x14ac:dyDescent="0.3">
      <c r="A870" s="12" t="s">
        <v>4434</v>
      </c>
      <c r="B870" s="14" t="str">
        <f>INDEX(orders!$F:$F,MATCH(A870,orders!$C:$C,0))</f>
        <v>Jimmy Dymoke</v>
      </c>
      <c r="C870" s="15">
        <f>_xlfn.MAXIFS(orders!$B:$B,orders!$C:$C,A870)</f>
        <v>44726</v>
      </c>
      <c r="D870" s="14">
        <f t="shared" si="79"/>
        <v>67</v>
      </c>
      <c r="E870" s="14">
        <f>COUNTIFS(orders!$C:$C,A870)</f>
        <v>5</v>
      </c>
      <c r="F870" s="16">
        <f>SUMIFS(orders!$M:$M,orders!$C:$C,A870)</f>
        <v>120.38499999999999</v>
      </c>
      <c r="G870" s="14" t="str">
        <f>INDEX(orders!$P:$P,MATCH(A870,orders!$C:$C,0))</f>
        <v>No</v>
      </c>
      <c r="H870" s="17">
        <f t="shared" si="80"/>
        <v>5</v>
      </c>
      <c r="I870" s="14">
        <f t="shared" si="81"/>
        <v>5</v>
      </c>
      <c r="J870">
        <f t="shared" si="82"/>
        <v>5</v>
      </c>
      <c r="K870" s="14">
        <f t="shared" si="83"/>
        <v>15</v>
      </c>
      <c r="L870" t="str">
        <f t="shared" si="84"/>
        <v>Loyal Repeat Customers</v>
      </c>
    </row>
    <row r="871" spans="1:12" x14ac:dyDescent="0.3">
      <c r="A871" s="12" t="s">
        <v>4024</v>
      </c>
      <c r="B871" s="14" t="str">
        <f>INDEX(orders!$F:$F,MATCH(A871,orders!$C:$C,0))</f>
        <v>Wallis Bernth</v>
      </c>
      <c r="C871" s="15">
        <f>_xlfn.MAXIFS(orders!$B:$B,orders!$C:$C,A871)</f>
        <v>43526</v>
      </c>
      <c r="D871" s="14">
        <f t="shared" si="79"/>
        <v>1267</v>
      </c>
      <c r="E871" s="14">
        <f>COUNTIFS(orders!$C:$C,A871)</f>
        <v>1</v>
      </c>
      <c r="F871" s="16">
        <f>SUMIFS(orders!$M:$M,orders!$C:$C,A871)</f>
        <v>77.624999999999986</v>
      </c>
      <c r="G871" s="14" t="str">
        <f>INDEX(orders!$P:$P,MATCH(A871,orders!$C:$C,0))</f>
        <v>No</v>
      </c>
      <c r="H871" s="17">
        <f t="shared" si="80"/>
        <v>1</v>
      </c>
      <c r="I871" s="14">
        <f t="shared" si="81"/>
        <v>1</v>
      </c>
      <c r="J871">
        <f t="shared" si="82"/>
        <v>4</v>
      </c>
      <c r="K871" s="14">
        <f t="shared" si="83"/>
        <v>6</v>
      </c>
      <c r="L871" t="str">
        <f t="shared" si="84"/>
        <v>Lapsed One-Time Buyers</v>
      </c>
    </row>
    <row r="872" spans="1:12" x14ac:dyDescent="0.3">
      <c r="A872" s="12" t="s">
        <v>2471</v>
      </c>
      <c r="B872" s="14" t="str">
        <f>INDEX(orders!$F:$F,MATCH(A872,orders!$C:$C,0))</f>
        <v>Ethel Ryles</v>
      </c>
      <c r="C872" s="15">
        <f>_xlfn.MAXIFS(orders!$B:$B,orders!$C:$C,A872)</f>
        <v>44066</v>
      </c>
      <c r="D872" s="14">
        <f t="shared" si="79"/>
        <v>727</v>
      </c>
      <c r="E872" s="14">
        <f>COUNTIFS(orders!$C:$C,A872)</f>
        <v>1</v>
      </c>
      <c r="F872" s="16">
        <f>SUMIFS(orders!$M:$M,orders!$C:$C,A872)</f>
        <v>22.5</v>
      </c>
      <c r="G872" s="14" t="str">
        <f>INDEX(orders!$P:$P,MATCH(A872,orders!$C:$C,0))</f>
        <v>No</v>
      </c>
      <c r="H872" s="17">
        <f t="shared" si="80"/>
        <v>3</v>
      </c>
      <c r="I872" s="14">
        <f t="shared" si="81"/>
        <v>1</v>
      </c>
      <c r="J872">
        <f t="shared" si="82"/>
        <v>2</v>
      </c>
      <c r="K872" s="14">
        <f t="shared" si="83"/>
        <v>6</v>
      </c>
      <c r="L872" t="str">
        <f t="shared" si="84"/>
        <v>Standard One-Time Buyers</v>
      </c>
    </row>
    <row r="873" spans="1:12" x14ac:dyDescent="0.3">
      <c r="A873" s="12" t="s">
        <v>5644</v>
      </c>
      <c r="B873" s="14" t="str">
        <f>INDEX(orders!$F:$F,MATCH(A873,orders!$C:$C,0))</f>
        <v>Mindy Bogey</v>
      </c>
      <c r="C873" s="15">
        <f>_xlfn.MAXIFS(orders!$B:$B,orders!$C:$C,A873)</f>
        <v>44511</v>
      </c>
      <c r="D873" s="14">
        <f t="shared" si="79"/>
        <v>282</v>
      </c>
      <c r="E873" s="14">
        <f>COUNTIFS(orders!$C:$C,A873)</f>
        <v>1</v>
      </c>
      <c r="F873" s="16">
        <f>SUMIFS(orders!$M:$M,orders!$C:$C,A873)</f>
        <v>45</v>
      </c>
      <c r="G873" s="14" t="str">
        <f>INDEX(orders!$P:$P,MATCH(A873,orders!$C:$C,0))</f>
        <v>Yes</v>
      </c>
      <c r="H873" s="17">
        <f t="shared" si="80"/>
        <v>4</v>
      </c>
      <c r="I873" s="14">
        <f t="shared" si="81"/>
        <v>1</v>
      </c>
      <c r="J873">
        <f t="shared" si="82"/>
        <v>4</v>
      </c>
      <c r="K873" s="14">
        <f t="shared" si="83"/>
        <v>9</v>
      </c>
      <c r="L873" t="str">
        <f t="shared" si="84"/>
        <v>Recent High-Value (One-Time)</v>
      </c>
    </row>
    <row r="874" spans="1:12" x14ac:dyDescent="0.3">
      <c r="A874" s="12" t="s">
        <v>1449</v>
      </c>
      <c r="B874" s="14" t="str">
        <f>INDEX(orders!$F:$F,MATCH(A874,orders!$C:$C,0))</f>
        <v>Serena Earley</v>
      </c>
      <c r="C874" s="15">
        <f>_xlfn.MAXIFS(orders!$B:$B,orders!$C:$C,A874)</f>
        <v>44476</v>
      </c>
      <c r="D874" s="14">
        <f t="shared" si="79"/>
        <v>317</v>
      </c>
      <c r="E874" s="14">
        <f>COUNTIFS(orders!$C:$C,A874)</f>
        <v>1</v>
      </c>
      <c r="F874" s="16">
        <f>SUMIFS(orders!$M:$M,orders!$C:$C,A874)</f>
        <v>68.309999999999988</v>
      </c>
      <c r="G874" s="14" t="str">
        <f>INDEX(orders!$P:$P,MATCH(A874,orders!$C:$C,0))</f>
        <v>No</v>
      </c>
      <c r="H874" s="17">
        <f t="shared" si="80"/>
        <v>4</v>
      </c>
      <c r="I874" s="14">
        <f t="shared" si="81"/>
        <v>1</v>
      </c>
      <c r="J874">
        <f t="shared" si="82"/>
        <v>4</v>
      </c>
      <c r="K874" s="14">
        <f t="shared" si="83"/>
        <v>9</v>
      </c>
      <c r="L874" t="str">
        <f t="shared" si="84"/>
        <v>Recent High-Value (One-Time)</v>
      </c>
    </row>
    <row r="875" spans="1:12" x14ac:dyDescent="0.3">
      <c r="A875" s="12" t="s">
        <v>2364</v>
      </c>
      <c r="B875" s="14" t="str">
        <f>INDEX(orders!$F:$F,MATCH(A875,orders!$C:$C,0))</f>
        <v>Quinn Parsons</v>
      </c>
      <c r="C875" s="15">
        <f>_xlfn.MAXIFS(orders!$B:$B,orders!$C:$C,A875)</f>
        <v>43689</v>
      </c>
      <c r="D875" s="14">
        <f t="shared" si="79"/>
        <v>1104</v>
      </c>
      <c r="E875" s="14">
        <f>COUNTIFS(orders!$C:$C,A875)</f>
        <v>1</v>
      </c>
      <c r="F875" s="16">
        <f>SUMIFS(orders!$M:$M,orders!$C:$C,A875)</f>
        <v>17.91</v>
      </c>
      <c r="G875" s="14" t="str">
        <f>INDEX(orders!$P:$P,MATCH(A875,orders!$C:$C,0))</f>
        <v>Yes</v>
      </c>
      <c r="H875" s="17">
        <f t="shared" si="80"/>
        <v>1</v>
      </c>
      <c r="I875" s="14">
        <f t="shared" si="81"/>
        <v>1</v>
      </c>
      <c r="J875">
        <f t="shared" si="82"/>
        <v>2</v>
      </c>
      <c r="K875" s="14">
        <f t="shared" si="83"/>
        <v>4</v>
      </c>
      <c r="L875" t="str">
        <f t="shared" si="84"/>
        <v>Lapsed One-Time Buyers</v>
      </c>
    </row>
    <row r="876" spans="1:12" x14ac:dyDescent="0.3">
      <c r="A876" s="12" t="s">
        <v>5710</v>
      </c>
      <c r="B876" s="14" t="str">
        <f>INDEX(orders!$F:$F,MATCH(A876,orders!$C:$C,0))</f>
        <v>Goldie Wynes</v>
      </c>
      <c r="C876" s="15">
        <f>_xlfn.MAXIFS(orders!$B:$B,orders!$C:$C,A876)</f>
        <v>43746</v>
      </c>
      <c r="D876" s="14">
        <f t="shared" si="79"/>
        <v>1047</v>
      </c>
      <c r="E876" s="14">
        <f>COUNTIFS(orders!$C:$C,A876)</f>
        <v>1</v>
      </c>
      <c r="F876" s="16">
        <f>SUMIFS(orders!$M:$M,orders!$C:$C,A876)</f>
        <v>27.945</v>
      </c>
      <c r="G876" s="14" t="str">
        <f>INDEX(orders!$P:$P,MATCH(A876,orders!$C:$C,0))</f>
        <v>No</v>
      </c>
      <c r="H876" s="17">
        <f t="shared" si="80"/>
        <v>1</v>
      </c>
      <c r="I876" s="14">
        <f t="shared" si="81"/>
        <v>1</v>
      </c>
      <c r="J876">
        <f t="shared" si="82"/>
        <v>3</v>
      </c>
      <c r="K876" s="14">
        <f t="shared" si="83"/>
        <v>5</v>
      </c>
      <c r="L876" t="str">
        <f t="shared" si="84"/>
        <v>Lapsed One-Time Buyers</v>
      </c>
    </row>
    <row r="877" spans="1:12" x14ac:dyDescent="0.3">
      <c r="A877" s="12" t="s">
        <v>5933</v>
      </c>
      <c r="B877" s="14" t="str">
        <f>INDEX(orders!$F:$F,MATCH(A877,orders!$C:$C,0))</f>
        <v>Yuri Burrells</v>
      </c>
      <c r="C877" s="15">
        <f>_xlfn.MAXIFS(orders!$B:$B,orders!$C:$C,A877)</f>
        <v>44203</v>
      </c>
      <c r="D877" s="14">
        <f t="shared" si="79"/>
        <v>590</v>
      </c>
      <c r="E877" s="14">
        <f>COUNTIFS(orders!$C:$C,A877)</f>
        <v>1</v>
      </c>
      <c r="F877" s="16">
        <f>SUMIFS(orders!$M:$M,orders!$C:$C,A877)</f>
        <v>23.88</v>
      </c>
      <c r="G877" s="14" t="str">
        <f>INDEX(orders!$P:$P,MATCH(A877,orders!$C:$C,0))</f>
        <v>Yes</v>
      </c>
      <c r="H877" s="17">
        <f t="shared" si="80"/>
        <v>3</v>
      </c>
      <c r="I877" s="14">
        <f t="shared" si="81"/>
        <v>1</v>
      </c>
      <c r="J877">
        <f t="shared" si="82"/>
        <v>2</v>
      </c>
      <c r="K877" s="14">
        <f t="shared" si="83"/>
        <v>6</v>
      </c>
      <c r="L877" t="str">
        <f t="shared" si="84"/>
        <v>Standard One-Time Buyers</v>
      </c>
    </row>
    <row r="878" spans="1:12" x14ac:dyDescent="0.3">
      <c r="A878" s="12" t="s">
        <v>4406</v>
      </c>
      <c r="B878" s="14" t="str">
        <f>INDEX(orders!$F:$F,MATCH(A878,orders!$C:$C,0))</f>
        <v>Elden Andriessen</v>
      </c>
      <c r="C878" s="15">
        <f>_xlfn.MAXIFS(orders!$B:$B,orders!$C:$C,A878)</f>
        <v>44012</v>
      </c>
      <c r="D878" s="14">
        <f t="shared" si="79"/>
        <v>781</v>
      </c>
      <c r="E878" s="14">
        <f>COUNTIFS(orders!$C:$C,A878)</f>
        <v>1</v>
      </c>
      <c r="F878" s="16">
        <f>SUMIFS(orders!$M:$M,orders!$C:$C,A878)</f>
        <v>51.749999999999993</v>
      </c>
      <c r="G878" s="14" t="str">
        <f>INDEX(orders!$P:$P,MATCH(A878,orders!$C:$C,0))</f>
        <v>Yes</v>
      </c>
      <c r="H878" s="17">
        <f t="shared" si="80"/>
        <v>2</v>
      </c>
      <c r="I878" s="14">
        <f t="shared" si="81"/>
        <v>1</v>
      </c>
      <c r="J878">
        <f t="shared" si="82"/>
        <v>4</v>
      </c>
      <c r="K878" s="14">
        <f t="shared" si="83"/>
        <v>7</v>
      </c>
      <c r="L878" t="str">
        <f t="shared" si="84"/>
        <v>Lapsed One-Time Buyers</v>
      </c>
    </row>
    <row r="879" spans="1:12" x14ac:dyDescent="0.3">
      <c r="A879" s="12" t="s">
        <v>621</v>
      </c>
      <c r="B879" s="14" t="str">
        <f>INDEX(orders!$F:$F,MATCH(A879,orders!$C:$C,0))</f>
        <v>Iorgo Kleinert</v>
      </c>
      <c r="C879" s="15">
        <f>_xlfn.MAXIFS(orders!$B:$B,orders!$C:$C,A879)</f>
        <v>44603</v>
      </c>
      <c r="D879" s="14">
        <f t="shared" si="79"/>
        <v>190</v>
      </c>
      <c r="E879" s="14">
        <f>COUNTIFS(orders!$C:$C,A879)</f>
        <v>1</v>
      </c>
      <c r="F879" s="16">
        <f>SUMIFS(orders!$M:$M,orders!$C:$C,A879)</f>
        <v>11.94</v>
      </c>
      <c r="G879" s="14" t="str">
        <f>INDEX(orders!$P:$P,MATCH(A879,orders!$C:$C,0))</f>
        <v>Yes</v>
      </c>
      <c r="H879" s="17">
        <f t="shared" si="80"/>
        <v>5</v>
      </c>
      <c r="I879" s="14">
        <f t="shared" si="81"/>
        <v>1</v>
      </c>
      <c r="J879">
        <f t="shared" si="82"/>
        <v>1</v>
      </c>
      <c r="K879" s="14">
        <f t="shared" si="83"/>
        <v>7</v>
      </c>
      <c r="L879" t="str">
        <f t="shared" si="84"/>
        <v>Standard One-Time Buyers</v>
      </c>
    </row>
    <row r="880" spans="1:12" x14ac:dyDescent="0.3">
      <c r="A880" s="12" t="s">
        <v>3511</v>
      </c>
      <c r="B880" s="14" t="str">
        <f>INDEX(orders!$F:$F,MATCH(A880,orders!$C:$C,0))</f>
        <v>Kris O'Cullen</v>
      </c>
      <c r="C880" s="15">
        <f>_xlfn.MAXIFS(orders!$B:$B,orders!$C:$C,A880)</f>
        <v>44563</v>
      </c>
      <c r="D880" s="14">
        <f t="shared" si="79"/>
        <v>230</v>
      </c>
      <c r="E880" s="14">
        <f>COUNTIFS(orders!$C:$C,A880)</f>
        <v>1</v>
      </c>
      <c r="F880" s="16">
        <f>SUMIFS(orders!$M:$M,orders!$C:$C,A880)</f>
        <v>45.769999999999996</v>
      </c>
      <c r="G880" s="14" t="str">
        <f>INDEX(orders!$P:$P,MATCH(A880,orders!$C:$C,0))</f>
        <v>Yes</v>
      </c>
      <c r="H880" s="17">
        <f t="shared" si="80"/>
        <v>5</v>
      </c>
      <c r="I880" s="14">
        <f t="shared" si="81"/>
        <v>1</v>
      </c>
      <c r="J880">
        <f t="shared" si="82"/>
        <v>4</v>
      </c>
      <c r="K880" s="14">
        <f t="shared" si="83"/>
        <v>10</v>
      </c>
      <c r="L880" t="str">
        <f t="shared" si="84"/>
        <v>Recent High-Value (One-Time)</v>
      </c>
    </row>
    <row r="881" spans="1:12" x14ac:dyDescent="0.3">
      <c r="A881" s="12" t="s">
        <v>571</v>
      </c>
      <c r="B881" s="14" t="str">
        <f>INDEX(orders!$F:$F,MATCH(A881,orders!$C:$C,0))</f>
        <v>Patrice Trobe</v>
      </c>
      <c r="C881" s="15">
        <f>_xlfn.MAXIFS(orders!$B:$B,orders!$C:$C,A881)</f>
        <v>44656</v>
      </c>
      <c r="D881" s="14">
        <f t="shared" si="79"/>
        <v>137</v>
      </c>
      <c r="E881" s="14">
        <f>COUNTIFS(orders!$C:$C,A881)</f>
        <v>1</v>
      </c>
      <c r="F881" s="16">
        <f>SUMIFS(orders!$M:$M,orders!$C:$C,A881)</f>
        <v>11.654999999999999</v>
      </c>
      <c r="G881" s="14" t="str">
        <f>INDEX(orders!$P:$P,MATCH(A881,orders!$C:$C,0))</f>
        <v>Yes</v>
      </c>
      <c r="H881" s="17">
        <f t="shared" si="80"/>
        <v>5</v>
      </c>
      <c r="I881" s="14">
        <f t="shared" si="81"/>
        <v>1</v>
      </c>
      <c r="J881">
        <f t="shared" si="82"/>
        <v>1</v>
      </c>
      <c r="K881" s="14">
        <f t="shared" si="83"/>
        <v>7</v>
      </c>
      <c r="L881" t="str">
        <f t="shared" si="84"/>
        <v>Standard One-Time Buyers</v>
      </c>
    </row>
    <row r="882" spans="1:12" x14ac:dyDescent="0.3">
      <c r="A882" s="12" t="s">
        <v>5571</v>
      </c>
      <c r="B882" s="14" t="str">
        <f>INDEX(orders!$F:$F,MATCH(A882,orders!$C:$C,0))</f>
        <v>Daryn Cassius</v>
      </c>
      <c r="C882" s="15">
        <f>_xlfn.MAXIFS(orders!$B:$B,orders!$C:$C,A882)</f>
        <v>44089</v>
      </c>
      <c r="D882" s="14">
        <f t="shared" si="79"/>
        <v>704</v>
      </c>
      <c r="E882" s="14">
        <f>COUNTIFS(orders!$C:$C,A882)</f>
        <v>1</v>
      </c>
      <c r="F882" s="16">
        <f>SUMIFS(orders!$M:$M,orders!$C:$C,A882)</f>
        <v>35.849999999999994</v>
      </c>
      <c r="G882" s="14" t="str">
        <f>INDEX(orders!$P:$P,MATCH(A882,orders!$C:$C,0))</f>
        <v>No</v>
      </c>
      <c r="H882" s="17">
        <f t="shared" si="80"/>
        <v>3</v>
      </c>
      <c r="I882" s="14">
        <f t="shared" si="81"/>
        <v>1</v>
      </c>
      <c r="J882">
        <f t="shared" si="82"/>
        <v>3</v>
      </c>
      <c r="K882" s="14">
        <f t="shared" si="83"/>
        <v>7</v>
      </c>
      <c r="L882" t="str">
        <f t="shared" si="84"/>
        <v>Standard One-Time Buyers</v>
      </c>
    </row>
    <row r="883" spans="1:12" x14ac:dyDescent="0.3">
      <c r="A883" s="12" t="s">
        <v>2080</v>
      </c>
      <c r="B883" s="14" t="str">
        <f>INDEX(orders!$F:$F,MATCH(A883,orders!$C:$C,0))</f>
        <v>Karlan Karby</v>
      </c>
      <c r="C883" s="15">
        <f>_xlfn.MAXIFS(orders!$B:$B,orders!$C:$C,A883)</f>
        <v>44210</v>
      </c>
      <c r="D883" s="14">
        <f t="shared" si="79"/>
        <v>583</v>
      </c>
      <c r="E883" s="14">
        <f>COUNTIFS(orders!$C:$C,A883)</f>
        <v>1</v>
      </c>
      <c r="F883" s="16">
        <f>SUMIFS(orders!$M:$M,orders!$C:$C,A883)</f>
        <v>59.4</v>
      </c>
      <c r="G883" s="14" t="str">
        <f>INDEX(orders!$P:$P,MATCH(A883,orders!$C:$C,0))</f>
        <v>Yes</v>
      </c>
      <c r="H883" s="17">
        <f t="shared" si="80"/>
        <v>3</v>
      </c>
      <c r="I883" s="14">
        <f t="shared" si="81"/>
        <v>1</v>
      </c>
      <c r="J883">
        <f t="shared" si="82"/>
        <v>4</v>
      </c>
      <c r="K883" s="14">
        <f t="shared" si="83"/>
        <v>8</v>
      </c>
      <c r="L883" t="str">
        <f t="shared" si="84"/>
        <v>Standard One-Time Buyers</v>
      </c>
    </row>
    <row r="884" spans="1:12" x14ac:dyDescent="0.3">
      <c r="A884" s="12" t="s">
        <v>4057</v>
      </c>
      <c r="B884" s="14" t="str">
        <f>INDEX(orders!$F:$F,MATCH(A884,orders!$C:$C,0))</f>
        <v>Marjorie Yoxen</v>
      </c>
      <c r="C884" s="15">
        <f>_xlfn.MAXIFS(orders!$B:$B,orders!$C:$C,A884)</f>
        <v>44049</v>
      </c>
      <c r="D884" s="14">
        <f t="shared" si="79"/>
        <v>744</v>
      </c>
      <c r="E884" s="14">
        <f>COUNTIFS(orders!$C:$C,A884)</f>
        <v>1</v>
      </c>
      <c r="F884" s="16">
        <f>SUMIFS(orders!$M:$M,orders!$C:$C,A884)</f>
        <v>35.64</v>
      </c>
      <c r="G884" s="14" t="str">
        <f>INDEX(orders!$P:$P,MATCH(A884,orders!$C:$C,0))</f>
        <v>No</v>
      </c>
      <c r="H884" s="17">
        <f t="shared" si="80"/>
        <v>3</v>
      </c>
      <c r="I884" s="14">
        <f t="shared" si="81"/>
        <v>1</v>
      </c>
      <c r="J884">
        <f t="shared" si="82"/>
        <v>3</v>
      </c>
      <c r="K884" s="14">
        <f t="shared" si="83"/>
        <v>7</v>
      </c>
      <c r="L884" t="str">
        <f t="shared" si="84"/>
        <v>Standard One-Time Buyers</v>
      </c>
    </row>
    <row r="885" spans="1:12" x14ac:dyDescent="0.3">
      <c r="A885" s="12" t="s">
        <v>5206</v>
      </c>
      <c r="B885" s="14" t="str">
        <f>INDEX(orders!$F:$F,MATCH(A885,orders!$C:$C,0))</f>
        <v>Nadeen Broomer</v>
      </c>
      <c r="C885" s="15">
        <f>_xlfn.MAXIFS(orders!$B:$B,orders!$C:$C,A885)</f>
        <v>44141</v>
      </c>
      <c r="D885" s="14">
        <f t="shared" si="79"/>
        <v>652</v>
      </c>
      <c r="E885" s="14">
        <f>COUNTIFS(orders!$C:$C,A885)</f>
        <v>1</v>
      </c>
      <c r="F885" s="16">
        <f>SUMIFS(orders!$M:$M,orders!$C:$C,A885)</f>
        <v>22.884999999999998</v>
      </c>
      <c r="G885" s="14" t="str">
        <f>INDEX(orders!$P:$P,MATCH(A885,orders!$C:$C,0))</f>
        <v>No</v>
      </c>
      <c r="H885" s="17">
        <f t="shared" si="80"/>
        <v>3</v>
      </c>
      <c r="I885" s="14">
        <f t="shared" si="81"/>
        <v>1</v>
      </c>
      <c r="J885">
        <f t="shared" si="82"/>
        <v>2</v>
      </c>
      <c r="K885" s="14">
        <f t="shared" si="83"/>
        <v>6</v>
      </c>
      <c r="L885" t="str">
        <f t="shared" si="84"/>
        <v>Standard One-Time Buyers</v>
      </c>
    </row>
    <row r="886" spans="1:12" x14ac:dyDescent="0.3">
      <c r="A886" s="12" t="s">
        <v>6002</v>
      </c>
      <c r="B886" s="14" t="str">
        <f>INDEX(orders!$F:$F,MATCH(A886,orders!$C:$C,0))</f>
        <v>Clayton Kingwell</v>
      </c>
      <c r="C886" s="15">
        <f>_xlfn.MAXIFS(orders!$B:$B,orders!$C:$C,A886)</f>
        <v>44538</v>
      </c>
      <c r="D886" s="14">
        <f t="shared" si="79"/>
        <v>255</v>
      </c>
      <c r="E886" s="14">
        <f>COUNTIFS(orders!$C:$C,A886)</f>
        <v>1</v>
      </c>
      <c r="F886" s="16">
        <f>SUMIFS(orders!$M:$M,orders!$C:$C,A886)</f>
        <v>8.9550000000000001</v>
      </c>
      <c r="G886" s="14" t="str">
        <f>INDEX(orders!$P:$P,MATCH(A886,orders!$C:$C,0))</f>
        <v>Yes</v>
      </c>
      <c r="H886" s="17">
        <f t="shared" si="80"/>
        <v>5</v>
      </c>
      <c r="I886" s="14">
        <f t="shared" si="81"/>
        <v>1</v>
      </c>
      <c r="J886">
        <f t="shared" si="82"/>
        <v>1</v>
      </c>
      <c r="K886" s="14">
        <f t="shared" si="83"/>
        <v>7</v>
      </c>
      <c r="L886" t="str">
        <f t="shared" si="84"/>
        <v>Standard One-Time Buyers</v>
      </c>
    </row>
    <row r="887" spans="1:12" x14ac:dyDescent="0.3">
      <c r="A887" s="12" t="s">
        <v>2308</v>
      </c>
      <c r="B887" s="14" t="str">
        <f>INDEX(orders!$F:$F,MATCH(A887,orders!$C:$C,0))</f>
        <v>Skylar Jeyness</v>
      </c>
      <c r="C887" s="15">
        <f>_xlfn.MAXIFS(orders!$B:$B,orders!$C:$C,A887)</f>
        <v>44182</v>
      </c>
      <c r="D887" s="14">
        <f t="shared" si="79"/>
        <v>611</v>
      </c>
      <c r="E887" s="14">
        <f>COUNTIFS(orders!$C:$C,A887)</f>
        <v>1</v>
      </c>
      <c r="F887" s="16">
        <f>SUMIFS(orders!$M:$M,orders!$C:$C,A887)</f>
        <v>23.31</v>
      </c>
      <c r="G887" s="14" t="str">
        <f>INDEX(orders!$P:$P,MATCH(A887,orders!$C:$C,0))</f>
        <v>No</v>
      </c>
      <c r="H887" s="17">
        <f t="shared" si="80"/>
        <v>3</v>
      </c>
      <c r="I887" s="14">
        <f t="shared" si="81"/>
        <v>1</v>
      </c>
      <c r="J887">
        <f t="shared" si="82"/>
        <v>2</v>
      </c>
      <c r="K887" s="14">
        <f t="shared" si="83"/>
        <v>6</v>
      </c>
      <c r="L887" t="str">
        <f t="shared" si="84"/>
        <v>Standard One-Time Buyers</v>
      </c>
    </row>
    <row r="888" spans="1:12" x14ac:dyDescent="0.3">
      <c r="A888" s="12" t="s">
        <v>5091</v>
      </c>
      <c r="B888" s="14" t="str">
        <f>INDEX(orders!$F:$F,MATCH(A888,orders!$C:$C,0))</f>
        <v>Silvanus Enefer</v>
      </c>
      <c r="C888" s="15">
        <f>_xlfn.MAXIFS(orders!$B:$B,orders!$C:$C,A888)</f>
        <v>43573</v>
      </c>
      <c r="D888" s="14">
        <f t="shared" si="79"/>
        <v>1220</v>
      </c>
      <c r="E888" s="14">
        <f>COUNTIFS(orders!$C:$C,A888)</f>
        <v>1</v>
      </c>
      <c r="F888" s="16">
        <f>SUMIFS(orders!$M:$M,orders!$C:$C,A888)</f>
        <v>8.91</v>
      </c>
      <c r="G888" s="14" t="str">
        <f>INDEX(orders!$P:$P,MATCH(A888,orders!$C:$C,0))</f>
        <v>No</v>
      </c>
      <c r="H888" s="17">
        <f t="shared" si="80"/>
        <v>1</v>
      </c>
      <c r="I888" s="14">
        <f t="shared" si="81"/>
        <v>1</v>
      </c>
      <c r="J888">
        <f t="shared" si="82"/>
        <v>1</v>
      </c>
      <c r="K888" s="14">
        <f t="shared" si="83"/>
        <v>3</v>
      </c>
      <c r="L888" t="str">
        <f t="shared" si="84"/>
        <v>Lapsed One-Time Buyers</v>
      </c>
    </row>
    <row r="889" spans="1:12" x14ac:dyDescent="0.3">
      <c r="A889" s="12" t="s">
        <v>1408</v>
      </c>
      <c r="B889" s="14" t="str">
        <f>INDEX(orders!$F:$F,MATCH(A889,orders!$C:$C,0))</f>
        <v>Gerardo Schonfeld</v>
      </c>
      <c r="C889" s="15">
        <f>_xlfn.MAXIFS(orders!$B:$B,orders!$C:$C,A889)</f>
        <v>43619</v>
      </c>
      <c r="D889" s="14">
        <f t="shared" si="79"/>
        <v>1174</v>
      </c>
      <c r="E889" s="14">
        <f>COUNTIFS(orders!$C:$C,A889)</f>
        <v>1</v>
      </c>
      <c r="F889" s="16">
        <f>SUMIFS(orders!$M:$M,orders!$C:$C,A889)</f>
        <v>16.11</v>
      </c>
      <c r="G889" s="14" t="str">
        <f>INDEX(orders!$P:$P,MATCH(A889,orders!$C:$C,0))</f>
        <v>No</v>
      </c>
      <c r="H889" s="17">
        <f t="shared" si="80"/>
        <v>1</v>
      </c>
      <c r="I889" s="14">
        <f t="shared" si="81"/>
        <v>1</v>
      </c>
      <c r="J889">
        <f t="shared" si="82"/>
        <v>2</v>
      </c>
      <c r="K889" s="14">
        <f t="shared" si="83"/>
        <v>4</v>
      </c>
      <c r="L889" t="str">
        <f t="shared" si="84"/>
        <v>Lapsed One-Time Buyers</v>
      </c>
    </row>
    <row r="890" spans="1:12" x14ac:dyDescent="0.3">
      <c r="A890" s="12" t="s">
        <v>4430</v>
      </c>
      <c r="B890" s="14" t="str">
        <f>INDEX(orders!$F:$F,MATCH(A890,orders!$C:$C,0))</f>
        <v>Myrle Dearden</v>
      </c>
      <c r="C890" s="15">
        <f>_xlfn.MAXIFS(orders!$B:$B,orders!$C:$C,A890)</f>
        <v>44547</v>
      </c>
      <c r="D890" s="14">
        <f t="shared" si="79"/>
        <v>246</v>
      </c>
      <c r="E890" s="14">
        <f>COUNTIFS(orders!$C:$C,A890)</f>
        <v>1</v>
      </c>
      <c r="F890" s="16">
        <f>SUMIFS(orders!$M:$M,orders!$C:$C,A890)</f>
        <v>20.25</v>
      </c>
      <c r="G890" s="14" t="str">
        <f>INDEX(orders!$P:$P,MATCH(A890,orders!$C:$C,0))</f>
        <v>No</v>
      </c>
      <c r="H890" s="17">
        <f t="shared" si="80"/>
        <v>5</v>
      </c>
      <c r="I890" s="14">
        <f t="shared" si="81"/>
        <v>1</v>
      </c>
      <c r="J890">
        <f t="shared" si="82"/>
        <v>2</v>
      </c>
      <c r="K890" s="14">
        <f t="shared" si="83"/>
        <v>8</v>
      </c>
      <c r="L890" t="str">
        <f t="shared" si="84"/>
        <v>Standard One-Time Buyers</v>
      </c>
    </row>
    <row r="891" spans="1:12" x14ac:dyDescent="0.3">
      <c r="A891" s="12" t="s">
        <v>4968</v>
      </c>
      <c r="B891" s="14" t="str">
        <f>INDEX(orders!$F:$F,MATCH(A891,orders!$C:$C,0))</f>
        <v>Jereme Gippes</v>
      </c>
      <c r="C891" s="15">
        <f>_xlfn.MAXIFS(orders!$B:$B,orders!$C:$C,A891)</f>
        <v>43545</v>
      </c>
      <c r="D891" s="14">
        <f t="shared" si="79"/>
        <v>1248</v>
      </c>
      <c r="E891" s="14">
        <f>COUNTIFS(orders!$C:$C,A891)</f>
        <v>1</v>
      </c>
      <c r="F891" s="16">
        <f>SUMIFS(orders!$M:$M,orders!$C:$C,A891)</f>
        <v>52.38</v>
      </c>
      <c r="G891" s="14" t="str">
        <f>INDEX(orders!$P:$P,MATCH(A891,orders!$C:$C,0))</f>
        <v>Yes</v>
      </c>
      <c r="H891" s="17">
        <f t="shared" si="80"/>
        <v>1</v>
      </c>
      <c r="I891" s="14">
        <f t="shared" si="81"/>
        <v>1</v>
      </c>
      <c r="J891">
        <f t="shared" si="82"/>
        <v>4</v>
      </c>
      <c r="K891" s="14">
        <f t="shared" si="83"/>
        <v>6</v>
      </c>
      <c r="L891" t="str">
        <f t="shared" si="84"/>
        <v>Lapsed One-Time Buyers</v>
      </c>
    </row>
    <row r="892" spans="1:12" x14ac:dyDescent="0.3">
      <c r="A892" s="12" t="s">
        <v>2347</v>
      </c>
      <c r="B892" s="14" t="str">
        <f>INDEX(orders!$F:$F,MATCH(A892,orders!$C:$C,0))</f>
        <v>Lisa Goodger</v>
      </c>
      <c r="C892" s="15">
        <f>_xlfn.MAXIFS(orders!$B:$B,orders!$C:$C,A892)</f>
        <v>44781</v>
      </c>
      <c r="D892" s="14">
        <f t="shared" si="79"/>
        <v>12</v>
      </c>
      <c r="E892" s="14">
        <f>COUNTIFS(orders!$C:$C,A892)</f>
        <v>1</v>
      </c>
      <c r="F892" s="16">
        <f>SUMIFS(orders!$M:$M,orders!$C:$C,A892)</f>
        <v>21.479999999999997</v>
      </c>
      <c r="G892" s="14" t="str">
        <f>INDEX(orders!$P:$P,MATCH(A892,orders!$C:$C,0))</f>
        <v>Yes</v>
      </c>
      <c r="H892" s="17">
        <f t="shared" si="80"/>
        <v>5</v>
      </c>
      <c r="I892" s="14">
        <f t="shared" si="81"/>
        <v>1</v>
      </c>
      <c r="J892">
        <f t="shared" si="82"/>
        <v>2</v>
      </c>
      <c r="K892" s="14">
        <f t="shared" si="83"/>
        <v>8</v>
      </c>
      <c r="L892" t="str">
        <f t="shared" si="84"/>
        <v>Standard One-Time Buyers</v>
      </c>
    </row>
    <row r="893" spans="1:12" x14ac:dyDescent="0.3">
      <c r="A893" s="12" t="s">
        <v>5408</v>
      </c>
      <c r="B893" s="14" t="str">
        <f>INDEX(orders!$F:$F,MATCH(A893,orders!$C:$C,0))</f>
        <v>Filip Antcliffe</v>
      </c>
      <c r="C893" s="15">
        <f>_xlfn.MAXIFS(orders!$B:$B,orders!$C:$C,A893)</f>
        <v>44460</v>
      </c>
      <c r="D893" s="14">
        <f t="shared" si="79"/>
        <v>333</v>
      </c>
      <c r="E893" s="14">
        <f>COUNTIFS(orders!$C:$C,A893)</f>
        <v>1</v>
      </c>
      <c r="F893" s="16">
        <f>SUMIFS(orders!$M:$M,orders!$C:$C,A893)</f>
        <v>7.29</v>
      </c>
      <c r="G893" s="14" t="str">
        <f>INDEX(orders!$P:$P,MATCH(A893,orders!$C:$C,0))</f>
        <v>Yes</v>
      </c>
      <c r="H893" s="17">
        <f t="shared" si="80"/>
        <v>4</v>
      </c>
      <c r="I893" s="14">
        <f t="shared" si="81"/>
        <v>1</v>
      </c>
      <c r="J893">
        <f t="shared" si="82"/>
        <v>1</v>
      </c>
      <c r="K893" s="14">
        <f t="shared" si="83"/>
        <v>6</v>
      </c>
      <c r="L893" t="str">
        <f t="shared" si="84"/>
        <v>Standard One-Time Buyers</v>
      </c>
    </row>
    <row r="894" spans="1:12" x14ac:dyDescent="0.3">
      <c r="A894" s="12" t="s">
        <v>4281</v>
      </c>
      <c r="B894" s="14" t="str">
        <f>INDEX(orders!$F:$F,MATCH(A894,orders!$C:$C,0))</f>
        <v>Gale Heindrick</v>
      </c>
      <c r="C894" s="15">
        <f>_xlfn.MAXIFS(orders!$B:$B,orders!$C:$C,A894)</f>
        <v>44495</v>
      </c>
      <c r="D894" s="14">
        <f t="shared" si="79"/>
        <v>298</v>
      </c>
      <c r="E894" s="14">
        <f>COUNTIFS(orders!$C:$C,A894)</f>
        <v>1</v>
      </c>
      <c r="F894" s="16">
        <f>SUMIFS(orders!$M:$M,orders!$C:$C,A894)</f>
        <v>59.75</v>
      </c>
      <c r="G894" s="14" t="str">
        <f>INDEX(orders!$P:$P,MATCH(A894,orders!$C:$C,0))</f>
        <v>No</v>
      </c>
      <c r="H894" s="17">
        <f t="shared" si="80"/>
        <v>4</v>
      </c>
      <c r="I894" s="14">
        <f t="shared" si="81"/>
        <v>1</v>
      </c>
      <c r="J894">
        <f t="shared" si="82"/>
        <v>4</v>
      </c>
      <c r="K894" s="14">
        <f t="shared" si="83"/>
        <v>9</v>
      </c>
      <c r="L894" t="str">
        <f t="shared" si="84"/>
        <v>Recent High-Value (One-Time)</v>
      </c>
    </row>
    <row r="895" spans="1:12" x14ac:dyDescent="0.3">
      <c r="A895" s="12" t="s">
        <v>1879</v>
      </c>
      <c r="B895" s="14" t="str">
        <f>INDEX(orders!$F:$F,MATCH(A895,orders!$C:$C,0))</f>
        <v>Georgena Bentjens</v>
      </c>
      <c r="C895" s="15">
        <f>_xlfn.MAXIFS(orders!$B:$B,orders!$C:$C,A895)</f>
        <v>44542</v>
      </c>
      <c r="D895" s="14">
        <f t="shared" si="79"/>
        <v>251</v>
      </c>
      <c r="E895" s="14">
        <f>COUNTIFS(orders!$C:$C,A895)</f>
        <v>1</v>
      </c>
      <c r="F895" s="16">
        <f>SUMIFS(orders!$M:$M,orders!$C:$C,A895)</f>
        <v>38.849999999999994</v>
      </c>
      <c r="G895" s="14" t="str">
        <f>INDEX(orders!$P:$P,MATCH(A895,orders!$C:$C,0))</f>
        <v>No</v>
      </c>
      <c r="H895" s="17">
        <f t="shared" si="80"/>
        <v>5</v>
      </c>
      <c r="I895" s="14">
        <f t="shared" si="81"/>
        <v>1</v>
      </c>
      <c r="J895">
        <f t="shared" si="82"/>
        <v>3</v>
      </c>
      <c r="K895" s="14">
        <f t="shared" si="83"/>
        <v>9</v>
      </c>
      <c r="L895" t="str">
        <f t="shared" si="84"/>
        <v>Standard One-Time Buyers</v>
      </c>
    </row>
    <row r="896" spans="1:12" x14ac:dyDescent="0.3">
      <c r="A896" s="12" t="s">
        <v>5610</v>
      </c>
      <c r="B896" s="14" t="str">
        <f>INDEX(orders!$F:$F,MATCH(A896,orders!$C:$C,0))</f>
        <v>Darcy Lochran</v>
      </c>
      <c r="C896" s="15">
        <f>_xlfn.MAXIFS(orders!$B:$B,orders!$C:$C,A896)</f>
        <v>43560</v>
      </c>
      <c r="D896" s="14">
        <f t="shared" si="79"/>
        <v>1233</v>
      </c>
      <c r="E896" s="14">
        <f>COUNTIFS(orders!$C:$C,A896)</f>
        <v>1</v>
      </c>
      <c r="F896" s="16">
        <f>SUMIFS(orders!$M:$M,orders!$C:$C,A896)</f>
        <v>40.5</v>
      </c>
      <c r="G896" s="14" t="str">
        <f>INDEX(orders!$P:$P,MATCH(A896,orders!$C:$C,0))</f>
        <v>Yes</v>
      </c>
      <c r="H896" s="17">
        <f t="shared" si="80"/>
        <v>1</v>
      </c>
      <c r="I896" s="14">
        <f t="shared" si="81"/>
        <v>1</v>
      </c>
      <c r="J896">
        <f t="shared" si="82"/>
        <v>3</v>
      </c>
      <c r="K896" s="14">
        <f t="shared" si="83"/>
        <v>5</v>
      </c>
      <c r="L896" t="str">
        <f t="shared" si="84"/>
        <v>Lapsed One-Time Buyers</v>
      </c>
    </row>
    <row r="897" spans="1:12" x14ac:dyDescent="0.3">
      <c r="A897" s="12" t="s">
        <v>2336</v>
      </c>
      <c r="B897" s="14" t="str">
        <f>INDEX(orders!$F:$F,MATCH(A897,orders!$C:$C,0))</f>
        <v>Baudoin Alldridge</v>
      </c>
      <c r="C897" s="15">
        <f>_xlfn.MAXIFS(orders!$B:$B,orders!$C:$C,A897)</f>
        <v>43579</v>
      </c>
      <c r="D897" s="14">
        <f t="shared" si="79"/>
        <v>1214</v>
      </c>
      <c r="E897" s="14">
        <f>COUNTIFS(orders!$C:$C,A897)</f>
        <v>1</v>
      </c>
      <c r="F897" s="16">
        <f>SUMIFS(orders!$M:$M,orders!$C:$C,A897)</f>
        <v>44.75</v>
      </c>
      <c r="G897" s="14" t="str">
        <f>INDEX(orders!$P:$P,MATCH(A897,orders!$C:$C,0))</f>
        <v>Yes</v>
      </c>
      <c r="H897" s="17">
        <f t="shared" si="80"/>
        <v>1</v>
      </c>
      <c r="I897" s="14">
        <f t="shared" si="81"/>
        <v>1</v>
      </c>
      <c r="J897">
        <f t="shared" si="82"/>
        <v>4</v>
      </c>
      <c r="K897" s="14">
        <f t="shared" si="83"/>
        <v>6</v>
      </c>
      <c r="L897" t="str">
        <f t="shared" si="84"/>
        <v>Lapsed One-Time Buyers</v>
      </c>
    </row>
    <row r="898" spans="1:12" x14ac:dyDescent="0.3">
      <c r="A898" s="12" t="s">
        <v>4540</v>
      </c>
      <c r="B898" s="14" t="str">
        <f>INDEX(orders!$F:$F,MATCH(A898,orders!$C:$C,0))</f>
        <v>Willabella Harvison</v>
      </c>
      <c r="C898" s="15">
        <f>_xlfn.MAXIFS(orders!$B:$B,orders!$C:$C,A898)</f>
        <v>43649</v>
      </c>
      <c r="D898" s="14">
        <f t="shared" si="79"/>
        <v>1144</v>
      </c>
      <c r="E898" s="14">
        <f>COUNTIFS(orders!$C:$C,A898)</f>
        <v>1</v>
      </c>
      <c r="F898" s="16">
        <f>SUMIFS(orders!$M:$M,orders!$C:$C,A898)</f>
        <v>68.655000000000001</v>
      </c>
      <c r="G898" s="14" t="str">
        <f>INDEX(orders!$P:$P,MATCH(A898,orders!$C:$C,0))</f>
        <v>No</v>
      </c>
      <c r="H898" s="17">
        <f t="shared" si="80"/>
        <v>1</v>
      </c>
      <c r="I898" s="14">
        <f t="shared" si="81"/>
        <v>1</v>
      </c>
      <c r="J898">
        <f t="shared" si="82"/>
        <v>4</v>
      </c>
      <c r="K898" s="14">
        <f t="shared" si="83"/>
        <v>6</v>
      </c>
      <c r="L898" t="str">
        <f t="shared" si="84"/>
        <v>Lapsed One-Time Buyers</v>
      </c>
    </row>
    <row r="899" spans="1:12" x14ac:dyDescent="0.3">
      <c r="A899" s="12" t="s">
        <v>1402</v>
      </c>
      <c r="B899" s="14" t="str">
        <f>INDEX(orders!$F:$F,MATCH(A899,orders!$C:$C,0))</f>
        <v>Dottie Tift</v>
      </c>
      <c r="C899" s="15">
        <f>_xlfn.MAXIFS(orders!$B:$B,orders!$C:$C,A899)</f>
        <v>44515</v>
      </c>
      <c r="D899" s="14">
        <f t="shared" si="79"/>
        <v>278</v>
      </c>
      <c r="E899" s="14">
        <f>COUNTIFS(orders!$C:$C,A899)</f>
        <v>1</v>
      </c>
      <c r="F899" s="16">
        <f>SUMIFS(orders!$M:$M,orders!$C:$C,A899)</f>
        <v>21.87</v>
      </c>
      <c r="G899" s="14" t="str">
        <f>INDEX(orders!$P:$P,MATCH(A899,orders!$C:$C,0))</f>
        <v>Yes</v>
      </c>
      <c r="H899" s="17">
        <f t="shared" si="80"/>
        <v>4</v>
      </c>
      <c r="I899" s="14">
        <f t="shared" si="81"/>
        <v>1</v>
      </c>
      <c r="J899">
        <f t="shared" si="82"/>
        <v>2</v>
      </c>
      <c r="K899" s="14">
        <f t="shared" si="83"/>
        <v>7</v>
      </c>
      <c r="L899" t="str">
        <f t="shared" si="84"/>
        <v>Standard One-Time Buyers</v>
      </c>
    </row>
    <row r="900" spans="1:12" x14ac:dyDescent="0.3">
      <c r="A900" s="12" t="s">
        <v>5041</v>
      </c>
      <c r="B900" s="14" t="str">
        <f>INDEX(orders!$F:$F,MATCH(A900,orders!$C:$C,0))</f>
        <v>Chester Clowton</v>
      </c>
      <c r="C900" s="15">
        <f>_xlfn.MAXIFS(orders!$B:$B,orders!$C:$C,A900)</f>
        <v>44713</v>
      </c>
      <c r="D900" s="14">
        <f t="shared" si="79"/>
        <v>80</v>
      </c>
      <c r="E900" s="14">
        <f>COUNTIFS(orders!$C:$C,A900)</f>
        <v>1</v>
      </c>
      <c r="F900" s="16">
        <f>SUMIFS(orders!$M:$M,orders!$C:$C,A900)</f>
        <v>5.97</v>
      </c>
      <c r="G900" s="14" t="str">
        <f>INDEX(orders!$P:$P,MATCH(A900,orders!$C:$C,0))</f>
        <v>No</v>
      </c>
      <c r="H900" s="17">
        <f t="shared" si="80"/>
        <v>5</v>
      </c>
      <c r="I900" s="14">
        <f t="shared" si="81"/>
        <v>1</v>
      </c>
      <c r="J900">
        <f t="shared" si="82"/>
        <v>1</v>
      </c>
      <c r="K900" s="14">
        <f t="shared" si="83"/>
        <v>7</v>
      </c>
      <c r="L900" t="str">
        <f t="shared" si="84"/>
        <v>Standard One-Time Buyers</v>
      </c>
    </row>
    <row r="901" spans="1:12" x14ac:dyDescent="0.3">
      <c r="A901" s="12" t="s">
        <v>4366</v>
      </c>
      <c r="B901" s="14" t="str">
        <f>INDEX(orders!$F:$F,MATCH(A901,orders!$C:$C,0))</f>
        <v>Deonne Shortall</v>
      </c>
      <c r="C901" s="15">
        <f>_xlfn.MAXIFS(orders!$B:$B,orders!$C:$C,A901)</f>
        <v>44330</v>
      </c>
      <c r="D901" s="14">
        <f t="shared" si="79"/>
        <v>463</v>
      </c>
      <c r="E901" s="14">
        <f>COUNTIFS(orders!$C:$C,A901)</f>
        <v>1</v>
      </c>
      <c r="F901" s="16">
        <f>SUMIFS(orders!$M:$M,orders!$C:$C,A901)</f>
        <v>8.0549999999999997</v>
      </c>
      <c r="G901" s="14" t="str">
        <f>INDEX(orders!$P:$P,MATCH(A901,orders!$C:$C,0))</f>
        <v>Yes</v>
      </c>
      <c r="H901" s="17">
        <f t="shared" si="80"/>
        <v>4</v>
      </c>
      <c r="I901" s="14">
        <f t="shared" si="81"/>
        <v>1</v>
      </c>
      <c r="J901">
        <f t="shared" si="82"/>
        <v>1</v>
      </c>
      <c r="K901" s="14">
        <f t="shared" si="83"/>
        <v>6</v>
      </c>
      <c r="L901" t="str">
        <f t="shared" si="84"/>
        <v>Standard One-Time Buyers</v>
      </c>
    </row>
    <row r="902" spans="1:12" x14ac:dyDescent="0.3">
      <c r="A902" s="12" t="s">
        <v>6031</v>
      </c>
      <c r="B902" s="14" t="str">
        <f>INDEX(orders!$F:$F,MATCH(A902,orders!$C:$C,0))</f>
        <v>Demetris Micheli</v>
      </c>
      <c r="C902" s="15">
        <f>_xlfn.MAXIFS(orders!$B:$B,orders!$C:$C,A902)</f>
        <v>43982</v>
      </c>
      <c r="D902" s="14">
        <f t="shared" ref="D902:D918" si="85">$B$1-C902</f>
        <v>811</v>
      </c>
      <c r="E902" s="14">
        <f>COUNTIFS(orders!$C:$C,A902)</f>
        <v>1</v>
      </c>
      <c r="F902" s="16">
        <f>SUMIFS(orders!$M:$M,orders!$C:$C,A902)</f>
        <v>167.67000000000002</v>
      </c>
      <c r="G902" s="14" t="str">
        <f>INDEX(orders!$P:$P,MATCH(A902,orders!$C:$C,0))</f>
        <v>Yes</v>
      </c>
      <c r="H902" s="17">
        <f t="shared" ref="H902:H918" si="86">IF(D902&lt;=$E$1,5,IF(D902&lt;=$F$1,4,IF(D902&lt;=$G$1,3,IF(D902&lt;=$H$1,2,1))))</f>
        <v>2</v>
      </c>
      <c r="I902" s="14">
        <f t="shared" ref="I902:I918" si="87">IF(E902&lt;=1,1,IF(E902&lt;=2,3,5))</f>
        <v>1</v>
      </c>
      <c r="J902">
        <f t="shared" ref="J902:J918" si="88">IF(F902&lt;=PERCENTILE($F$5:$F$917,0.2),1,IF(F902&lt;=PERCENTILE($F$5:$F$917,0.4),2,IF(F902&lt;=PERCENTILE($F$5:$F$917,0.6),3,IF(F902&lt;=PERCENTILE($F$5:$F$917,0.8),4,5))))</f>
        <v>5</v>
      </c>
      <c r="K902" s="14">
        <f t="shared" ref="K902:K918" si="89">H902+I902+J902</f>
        <v>8</v>
      </c>
      <c r="L902" t="str">
        <f t="shared" ref="L902:L918" si="90">IF(AND(E902&gt;=2,H902&gt;=4),"Loyal Repeat Customers",IF(E902&gt;=2,"At-Risk Repeat Customers",IF(AND(H902&gt;=4,J902&gt;=4),"Recent High-Value (One-Time)",IF(H902&lt;=2,"Lapsed One-Time Buyers","Standard One-Time Buyers"))))</f>
        <v>Lapsed One-Time Buyers</v>
      </c>
    </row>
    <row r="903" spans="1:12" x14ac:dyDescent="0.3">
      <c r="A903" s="12" t="s">
        <v>4134</v>
      </c>
      <c r="B903" s="14" t="str">
        <f>INDEX(orders!$F:$F,MATCH(A903,orders!$C:$C,0))</f>
        <v>Denny O' Ronan</v>
      </c>
      <c r="C903" s="15">
        <f>_xlfn.MAXIFS(orders!$B:$B,orders!$C:$C,A903)</f>
        <v>44106</v>
      </c>
      <c r="D903" s="14">
        <f t="shared" si="85"/>
        <v>687</v>
      </c>
      <c r="E903" s="14">
        <f>COUNTIFS(orders!$C:$C,A903)</f>
        <v>1</v>
      </c>
      <c r="F903" s="16">
        <f>SUMIFS(orders!$M:$M,orders!$C:$C,A903)</f>
        <v>68.655000000000001</v>
      </c>
      <c r="G903" s="14" t="str">
        <f>INDEX(orders!$P:$P,MATCH(A903,orders!$C:$C,0))</f>
        <v>Yes</v>
      </c>
      <c r="H903" s="17">
        <f t="shared" si="86"/>
        <v>3</v>
      </c>
      <c r="I903" s="14">
        <f t="shared" si="87"/>
        <v>1</v>
      </c>
      <c r="J903">
        <f t="shared" si="88"/>
        <v>4</v>
      </c>
      <c r="K903" s="14">
        <f t="shared" si="89"/>
        <v>8</v>
      </c>
      <c r="L903" t="str">
        <f t="shared" si="90"/>
        <v>Standard One-Time Buyers</v>
      </c>
    </row>
    <row r="904" spans="1:12" x14ac:dyDescent="0.3">
      <c r="A904" s="12" t="s">
        <v>1720</v>
      </c>
      <c r="B904" s="14" t="str">
        <f>INDEX(orders!$F:$F,MATCH(A904,orders!$C:$C,0))</f>
        <v>Rem Furman</v>
      </c>
      <c r="C904" s="15">
        <f>_xlfn.MAXIFS(orders!$B:$B,orders!$C:$C,A904)</f>
        <v>44317</v>
      </c>
      <c r="D904" s="14">
        <f t="shared" si="85"/>
        <v>476</v>
      </c>
      <c r="E904" s="14">
        <f>COUNTIFS(orders!$C:$C,A904)</f>
        <v>1</v>
      </c>
      <c r="F904" s="16">
        <f>SUMIFS(orders!$M:$M,orders!$C:$C,A904)</f>
        <v>56.25</v>
      </c>
      <c r="G904" s="14" t="str">
        <f>INDEX(orders!$P:$P,MATCH(A904,orders!$C:$C,0))</f>
        <v>Yes</v>
      </c>
      <c r="H904" s="17">
        <f t="shared" si="86"/>
        <v>4</v>
      </c>
      <c r="I904" s="14">
        <f t="shared" si="87"/>
        <v>1</v>
      </c>
      <c r="J904">
        <f t="shared" si="88"/>
        <v>4</v>
      </c>
      <c r="K904" s="14">
        <f t="shared" si="89"/>
        <v>9</v>
      </c>
      <c r="L904" t="str">
        <f t="shared" si="90"/>
        <v>Recent High-Value (One-Time)</v>
      </c>
    </row>
    <row r="905" spans="1:12" x14ac:dyDescent="0.3">
      <c r="A905" s="12" t="s">
        <v>4950</v>
      </c>
      <c r="B905" s="14" t="str">
        <f>INDEX(orders!$F:$F,MATCH(A905,orders!$C:$C,0))</f>
        <v>Nobe Buney</v>
      </c>
      <c r="C905" s="15">
        <f>_xlfn.MAXIFS(orders!$B:$B,orders!$C:$C,A905)</f>
        <v>43485</v>
      </c>
      <c r="D905" s="14">
        <f t="shared" si="85"/>
        <v>1308</v>
      </c>
      <c r="E905" s="14">
        <f>COUNTIFS(orders!$C:$C,A905)</f>
        <v>1</v>
      </c>
      <c r="F905" s="16">
        <f>SUMIFS(orders!$M:$M,orders!$C:$C,A905)</f>
        <v>77.699999999999989</v>
      </c>
      <c r="G905" s="14" t="str">
        <f>INDEX(orders!$P:$P,MATCH(A905,orders!$C:$C,0))</f>
        <v>No</v>
      </c>
      <c r="H905" s="17">
        <f t="shared" si="86"/>
        <v>1</v>
      </c>
      <c r="I905" s="14">
        <f t="shared" si="87"/>
        <v>1</v>
      </c>
      <c r="J905">
        <f t="shared" si="88"/>
        <v>4</v>
      </c>
      <c r="K905" s="14">
        <f t="shared" si="89"/>
        <v>6</v>
      </c>
      <c r="L905" t="str">
        <f t="shared" si="90"/>
        <v>Lapsed One-Time Buyers</v>
      </c>
    </row>
    <row r="906" spans="1:12" x14ac:dyDescent="0.3">
      <c r="A906" s="12" t="s">
        <v>3386</v>
      </c>
      <c r="B906" s="14" t="str">
        <f>INDEX(orders!$F:$F,MATCH(A906,orders!$C:$C,0))</f>
        <v>Celia Bakeup</v>
      </c>
      <c r="C906" s="15">
        <f>_xlfn.MAXIFS(orders!$B:$B,orders!$C:$C,A906)</f>
        <v>43535</v>
      </c>
      <c r="D906" s="14">
        <f t="shared" si="85"/>
        <v>1258</v>
      </c>
      <c r="E906" s="14">
        <f>COUNTIFS(orders!$C:$C,A906)</f>
        <v>1</v>
      </c>
      <c r="F906" s="16">
        <f>SUMIFS(orders!$M:$M,orders!$C:$C,A906)</f>
        <v>47.55</v>
      </c>
      <c r="G906" s="14" t="str">
        <f>INDEX(orders!$P:$P,MATCH(A906,orders!$C:$C,0))</f>
        <v>No</v>
      </c>
      <c r="H906" s="17">
        <f t="shared" si="86"/>
        <v>1</v>
      </c>
      <c r="I906" s="14">
        <f t="shared" si="87"/>
        <v>1</v>
      </c>
      <c r="J906">
        <f t="shared" si="88"/>
        <v>4</v>
      </c>
      <c r="K906" s="14">
        <f t="shared" si="89"/>
        <v>6</v>
      </c>
      <c r="L906" t="str">
        <f t="shared" si="90"/>
        <v>Lapsed One-Time Buyers</v>
      </c>
    </row>
    <row r="907" spans="1:12" x14ac:dyDescent="0.3">
      <c r="A907" s="12" t="s">
        <v>4939</v>
      </c>
      <c r="B907" s="14" t="str">
        <f>INDEX(orders!$F:$F,MATCH(A907,orders!$C:$C,0))</f>
        <v>Beryl Osborn</v>
      </c>
      <c r="C907" s="15">
        <f>_xlfn.MAXIFS(orders!$B:$B,orders!$C:$C,A907)</f>
        <v>44305</v>
      </c>
      <c r="D907" s="14">
        <f t="shared" si="85"/>
        <v>488</v>
      </c>
      <c r="E907" s="14">
        <f>COUNTIFS(orders!$C:$C,A907)</f>
        <v>1</v>
      </c>
      <c r="F907" s="16">
        <f>SUMIFS(orders!$M:$M,orders!$C:$C,A907)</f>
        <v>82.5</v>
      </c>
      <c r="G907" s="14" t="str">
        <f>INDEX(orders!$P:$P,MATCH(A907,orders!$C:$C,0))</f>
        <v>Yes</v>
      </c>
      <c r="H907" s="17">
        <f t="shared" si="86"/>
        <v>4</v>
      </c>
      <c r="I907" s="14">
        <f t="shared" si="87"/>
        <v>1</v>
      </c>
      <c r="J907">
        <f t="shared" si="88"/>
        <v>5</v>
      </c>
      <c r="K907" s="14">
        <f t="shared" si="89"/>
        <v>10</v>
      </c>
      <c r="L907" t="str">
        <f t="shared" si="90"/>
        <v>Recent High-Value (One-Time)</v>
      </c>
    </row>
    <row r="908" spans="1:12" x14ac:dyDescent="0.3">
      <c r="A908" s="12" t="s">
        <v>2883</v>
      </c>
      <c r="B908" s="14" t="str">
        <f>INDEX(orders!$F:$F,MATCH(A908,orders!$C:$C,0))</f>
        <v>Alric Darth</v>
      </c>
      <c r="C908" s="15">
        <f>_xlfn.MAXIFS(orders!$B:$B,orders!$C:$C,A908)</f>
        <v>44428</v>
      </c>
      <c r="D908" s="14">
        <f t="shared" si="85"/>
        <v>365</v>
      </c>
      <c r="E908" s="14">
        <f>COUNTIFS(orders!$C:$C,A908)</f>
        <v>1</v>
      </c>
      <c r="F908" s="16">
        <f>SUMIFS(orders!$M:$M,orders!$C:$C,A908)</f>
        <v>17.899999999999999</v>
      </c>
      <c r="G908" s="14" t="str">
        <f>INDEX(orders!$P:$P,MATCH(A908,orders!$C:$C,0))</f>
        <v>No</v>
      </c>
      <c r="H908" s="17">
        <f t="shared" si="86"/>
        <v>4</v>
      </c>
      <c r="I908" s="14">
        <f t="shared" si="87"/>
        <v>1</v>
      </c>
      <c r="J908">
        <f t="shared" si="88"/>
        <v>2</v>
      </c>
      <c r="K908" s="14">
        <f t="shared" si="89"/>
        <v>7</v>
      </c>
      <c r="L908" t="str">
        <f t="shared" si="90"/>
        <v>Standard One-Time Buyers</v>
      </c>
    </row>
    <row r="909" spans="1:12" x14ac:dyDescent="0.3">
      <c r="A909" s="12" t="s">
        <v>5586</v>
      </c>
      <c r="B909" s="14" t="str">
        <f>INDEX(orders!$F:$F,MATCH(A909,orders!$C:$C,0))</f>
        <v>Drake Jevon</v>
      </c>
      <c r="C909" s="15">
        <f>_xlfn.MAXIFS(orders!$B:$B,orders!$C:$C,A909)</f>
        <v>44223</v>
      </c>
      <c r="D909" s="14">
        <f t="shared" si="85"/>
        <v>570</v>
      </c>
      <c r="E909" s="14">
        <f>COUNTIFS(orders!$C:$C,A909)</f>
        <v>1</v>
      </c>
      <c r="F909" s="16">
        <f>SUMIFS(orders!$M:$M,orders!$C:$C,A909)</f>
        <v>3.5849999999999995</v>
      </c>
      <c r="G909" s="14" t="str">
        <f>INDEX(orders!$P:$P,MATCH(A909,orders!$C:$C,0))</f>
        <v>Yes</v>
      </c>
      <c r="H909" s="17">
        <f t="shared" si="86"/>
        <v>3</v>
      </c>
      <c r="I909" s="14">
        <f t="shared" si="87"/>
        <v>1</v>
      </c>
      <c r="J909">
        <f t="shared" si="88"/>
        <v>1</v>
      </c>
      <c r="K909" s="14">
        <f t="shared" si="89"/>
        <v>5</v>
      </c>
      <c r="L909" t="str">
        <f t="shared" si="90"/>
        <v>Standard One-Time Buyers</v>
      </c>
    </row>
    <row r="910" spans="1:12" x14ac:dyDescent="0.3">
      <c r="A910" s="12" t="s">
        <v>2465</v>
      </c>
      <c r="B910" s="14" t="str">
        <f>INDEX(orders!$F:$F,MATCH(A910,orders!$C:$C,0))</f>
        <v>Joshuah Awdry</v>
      </c>
      <c r="C910" s="15">
        <f>_xlfn.MAXIFS(orders!$B:$B,orders!$C:$C,A910)</f>
        <v>43592</v>
      </c>
      <c r="D910" s="14">
        <f t="shared" si="85"/>
        <v>1201</v>
      </c>
      <c r="E910" s="14">
        <f>COUNTIFS(orders!$C:$C,A910)</f>
        <v>1</v>
      </c>
      <c r="F910" s="16">
        <f>SUMIFS(orders!$M:$M,orders!$C:$C,A910)</f>
        <v>23.88</v>
      </c>
      <c r="G910" s="14" t="str">
        <f>INDEX(orders!$P:$P,MATCH(A910,orders!$C:$C,0))</f>
        <v>No</v>
      </c>
      <c r="H910" s="17">
        <f t="shared" si="86"/>
        <v>1</v>
      </c>
      <c r="I910" s="14">
        <f t="shared" si="87"/>
        <v>1</v>
      </c>
      <c r="J910">
        <f t="shared" si="88"/>
        <v>2</v>
      </c>
      <c r="K910" s="14">
        <f t="shared" si="89"/>
        <v>4</v>
      </c>
      <c r="L910" t="str">
        <f t="shared" si="90"/>
        <v>Lapsed One-Time Buyers</v>
      </c>
    </row>
    <row r="911" spans="1:12" x14ac:dyDescent="0.3">
      <c r="A911" s="12" t="s">
        <v>2154</v>
      </c>
      <c r="B911" s="14" t="str">
        <f>INDEX(orders!$F:$F,MATCH(A911,orders!$C:$C,0))</f>
        <v>Cybill Graddell</v>
      </c>
      <c r="C911" s="15">
        <f>_xlfn.MAXIFS(orders!$B:$B,orders!$C:$C,A911)</f>
        <v>44057</v>
      </c>
      <c r="D911" s="14">
        <f t="shared" si="85"/>
        <v>736</v>
      </c>
      <c r="E911" s="14">
        <f>COUNTIFS(orders!$C:$C,A911)</f>
        <v>1</v>
      </c>
      <c r="F911" s="16">
        <f>SUMIFS(orders!$M:$M,orders!$C:$C,A911)</f>
        <v>27.5</v>
      </c>
      <c r="G911" s="14" t="str">
        <f>INDEX(orders!$P:$P,MATCH(A911,orders!$C:$C,0))</f>
        <v>No</v>
      </c>
      <c r="H911" s="17">
        <f t="shared" si="86"/>
        <v>3</v>
      </c>
      <c r="I911" s="14">
        <f t="shared" si="87"/>
        <v>1</v>
      </c>
      <c r="J911">
        <f t="shared" si="88"/>
        <v>3</v>
      </c>
      <c r="K911" s="14">
        <f t="shared" si="89"/>
        <v>7</v>
      </c>
      <c r="L911" t="str">
        <f t="shared" si="90"/>
        <v>Standard One-Time Buyers</v>
      </c>
    </row>
    <row r="912" spans="1:12" x14ac:dyDescent="0.3">
      <c r="A912" s="12" t="s">
        <v>1918</v>
      </c>
      <c r="B912" s="14" t="str">
        <f>INDEX(orders!$F:$F,MATCH(A912,orders!$C:$C,0))</f>
        <v>Leia Kernan</v>
      </c>
      <c r="C912" s="15">
        <f>_xlfn.MAXIFS(orders!$B:$B,orders!$C:$C,A912)</f>
        <v>44523</v>
      </c>
      <c r="D912" s="14">
        <f t="shared" si="85"/>
        <v>270</v>
      </c>
      <c r="E912" s="14">
        <f>COUNTIFS(orders!$C:$C,A912)</f>
        <v>1</v>
      </c>
      <c r="F912" s="16">
        <f>SUMIFS(orders!$M:$M,orders!$C:$C,A912)</f>
        <v>58.2</v>
      </c>
      <c r="G912" s="14" t="str">
        <f>INDEX(orders!$P:$P,MATCH(A912,orders!$C:$C,0))</f>
        <v>No</v>
      </c>
      <c r="H912" s="17">
        <f t="shared" si="86"/>
        <v>4</v>
      </c>
      <c r="I912" s="14">
        <f t="shared" si="87"/>
        <v>1</v>
      </c>
      <c r="J912">
        <f t="shared" si="88"/>
        <v>4</v>
      </c>
      <c r="K912" s="14">
        <f t="shared" si="89"/>
        <v>9</v>
      </c>
      <c r="L912" t="str">
        <f t="shared" si="90"/>
        <v>Recent High-Value (One-Time)</v>
      </c>
    </row>
    <row r="913" spans="1:12" x14ac:dyDescent="0.3">
      <c r="A913" s="12" t="s">
        <v>582</v>
      </c>
      <c r="B913" s="14" t="str">
        <f>INDEX(orders!$F:$F,MATCH(A913,orders!$C:$C,0))</f>
        <v>Minni Alabaster</v>
      </c>
      <c r="C913" s="15">
        <f>_xlfn.MAXIFS(orders!$B:$B,orders!$C:$C,A913)</f>
        <v>43544</v>
      </c>
      <c r="D913" s="14">
        <f t="shared" si="85"/>
        <v>1249</v>
      </c>
      <c r="E913" s="14">
        <f>COUNTIFS(orders!$C:$C,A913)</f>
        <v>1</v>
      </c>
      <c r="F913" s="16">
        <f>SUMIFS(orders!$M:$M,orders!$C:$C,A913)</f>
        <v>20.25</v>
      </c>
      <c r="G913" s="14" t="str">
        <f>INDEX(orders!$P:$P,MATCH(A913,orders!$C:$C,0))</f>
        <v>No</v>
      </c>
      <c r="H913" s="17">
        <f t="shared" si="86"/>
        <v>1</v>
      </c>
      <c r="I913" s="14">
        <f t="shared" si="87"/>
        <v>1</v>
      </c>
      <c r="J913">
        <f t="shared" si="88"/>
        <v>2</v>
      </c>
      <c r="K913" s="14">
        <f t="shared" si="89"/>
        <v>4</v>
      </c>
      <c r="L913" t="str">
        <f t="shared" si="90"/>
        <v>Lapsed One-Time Buyers</v>
      </c>
    </row>
    <row r="914" spans="1:12" x14ac:dyDescent="0.3">
      <c r="A914" s="12" t="s">
        <v>3137</v>
      </c>
      <c r="B914" s="14" t="str">
        <f>INDEX(orders!$F:$F,MATCH(A914,orders!$C:$C,0))</f>
        <v>Julius Mccaull</v>
      </c>
      <c r="C914" s="15">
        <f>_xlfn.MAXIFS(orders!$B:$B,orders!$C:$C,A914)</f>
        <v>44023</v>
      </c>
      <c r="D914" s="14">
        <f t="shared" si="85"/>
        <v>770</v>
      </c>
      <c r="E914" s="14">
        <f>COUNTIFS(orders!$C:$C,A914)</f>
        <v>1</v>
      </c>
      <c r="F914" s="16">
        <f>SUMIFS(orders!$M:$M,orders!$C:$C,A914)</f>
        <v>41.25</v>
      </c>
      <c r="G914" s="14" t="str">
        <f>INDEX(orders!$P:$P,MATCH(A914,orders!$C:$C,0))</f>
        <v>Yes</v>
      </c>
      <c r="H914" s="17">
        <f t="shared" si="86"/>
        <v>2</v>
      </c>
      <c r="I914" s="14">
        <f t="shared" si="87"/>
        <v>1</v>
      </c>
      <c r="J914">
        <f t="shared" si="88"/>
        <v>3</v>
      </c>
      <c r="K914" s="14">
        <f t="shared" si="89"/>
        <v>6</v>
      </c>
      <c r="L914" t="str">
        <f t="shared" si="90"/>
        <v>Lapsed One-Time Buyers</v>
      </c>
    </row>
    <row r="915" spans="1:12" x14ac:dyDescent="0.3">
      <c r="A915" s="12" t="s">
        <v>3095</v>
      </c>
      <c r="B915" s="14" t="str">
        <f>INDEX(orders!$F:$F,MATCH(A915,orders!$C:$C,0))</f>
        <v>Ransell McKall</v>
      </c>
      <c r="C915" s="15">
        <f>_xlfn.MAXIFS(orders!$B:$B,orders!$C:$C,A915)</f>
        <v>44036</v>
      </c>
      <c r="D915" s="14">
        <f t="shared" si="85"/>
        <v>757</v>
      </c>
      <c r="E915" s="14">
        <f>COUNTIFS(orders!$C:$C,A915)</f>
        <v>1</v>
      </c>
      <c r="F915" s="16">
        <f>SUMIFS(orders!$M:$M,orders!$C:$C,A915)</f>
        <v>10.739999999999998</v>
      </c>
      <c r="G915" s="14" t="str">
        <f>INDEX(orders!$P:$P,MATCH(A915,orders!$C:$C,0))</f>
        <v>Yes</v>
      </c>
      <c r="H915" s="17">
        <f t="shared" si="86"/>
        <v>3</v>
      </c>
      <c r="I915" s="14">
        <f t="shared" si="87"/>
        <v>1</v>
      </c>
      <c r="J915">
        <f t="shared" si="88"/>
        <v>1</v>
      </c>
      <c r="K915" s="14">
        <f t="shared" si="89"/>
        <v>5</v>
      </c>
      <c r="L915" t="str">
        <f t="shared" si="90"/>
        <v>Standard One-Time Buyers</v>
      </c>
    </row>
    <row r="916" spans="1:12" x14ac:dyDescent="0.3">
      <c r="A916" s="12" t="s">
        <v>3740</v>
      </c>
      <c r="B916" s="14" t="str">
        <f>INDEX(orders!$F:$F,MATCH(A916,orders!$C:$C,0))</f>
        <v>Reggie Thickpenny</v>
      </c>
      <c r="C916" s="15">
        <f>_xlfn.MAXIFS(orders!$B:$B,orders!$C:$C,A916)</f>
        <v>44239</v>
      </c>
      <c r="D916" s="14">
        <f t="shared" si="85"/>
        <v>554</v>
      </c>
      <c r="E916" s="14">
        <f>COUNTIFS(orders!$C:$C,A916)</f>
        <v>1</v>
      </c>
      <c r="F916" s="16">
        <f>SUMIFS(orders!$M:$M,orders!$C:$C,A916)</f>
        <v>66.929999999999993</v>
      </c>
      <c r="G916" s="14" t="str">
        <f>INDEX(orders!$P:$P,MATCH(A916,orders!$C:$C,0))</f>
        <v>No</v>
      </c>
      <c r="H916" s="17">
        <f t="shared" si="86"/>
        <v>3</v>
      </c>
      <c r="I916" s="14">
        <f t="shared" si="87"/>
        <v>1</v>
      </c>
      <c r="J916">
        <f t="shared" si="88"/>
        <v>4</v>
      </c>
      <c r="K916" s="14">
        <f t="shared" si="89"/>
        <v>8</v>
      </c>
      <c r="L916" t="str">
        <f t="shared" si="90"/>
        <v>Standard One-Time Buyers</v>
      </c>
    </row>
    <row r="917" spans="1:12" x14ac:dyDescent="0.3">
      <c r="A917" s="12" t="s">
        <v>3890</v>
      </c>
      <c r="B917" s="14" t="str">
        <f>INDEX(orders!$F:$F,MATCH(A917,orders!$C:$C,0))</f>
        <v>Emalee Rolin</v>
      </c>
      <c r="C917" s="15">
        <f>_xlfn.MAXIFS(orders!$B:$B,orders!$C:$C,A917)</f>
        <v>43603</v>
      </c>
      <c r="D917" s="14">
        <f t="shared" si="85"/>
        <v>1190</v>
      </c>
      <c r="E917" s="14">
        <f>COUNTIFS(orders!$C:$C,A917)</f>
        <v>1</v>
      </c>
      <c r="F917" s="16">
        <f>SUMIFS(orders!$M:$M,orders!$C:$C,A917)</f>
        <v>22.274999999999999</v>
      </c>
      <c r="G917" s="14" t="str">
        <f>INDEX(orders!$P:$P,MATCH(A917,orders!$C:$C,0))</f>
        <v>Yes</v>
      </c>
      <c r="H917" s="17">
        <f t="shared" si="86"/>
        <v>1</v>
      </c>
      <c r="I917" s="14">
        <f t="shared" si="87"/>
        <v>1</v>
      </c>
      <c r="J917">
        <f t="shared" si="88"/>
        <v>2</v>
      </c>
      <c r="K917" s="14">
        <f t="shared" si="89"/>
        <v>4</v>
      </c>
      <c r="L917" t="str">
        <f t="shared" si="90"/>
        <v>Lapsed One-Time Buyers</v>
      </c>
    </row>
    <row r="918" spans="1:12" ht="15" thickBot="1" x14ac:dyDescent="0.35">
      <c r="A918" s="13" t="s">
        <v>6198</v>
      </c>
      <c r="B918" s="14" t="e">
        <f>INDEX(orders!$F:$F,MATCH(A918,orders!$C:$C,0))</f>
        <v>#N/A</v>
      </c>
      <c r="C918" s="15">
        <f>_xlfn.MAXIFS(orders!$B:$B,orders!$C:$C,A918)</f>
        <v>0</v>
      </c>
      <c r="D918" s="14">
        <f t="shared" si="85"/>
        <v>44793</v>
      </c>
      <c r="E918" s="14">
        <f>COUNTIFS(orders!$C:$C,A918)</f>
        <v>0</v>
      </c>
      <c r="F918" s="16">
        <f>SUMIFS(orders!$M:$M,orders!$C:$C,A918)</f>
        <v>0</v>
      </c>
      <c r="G918" s="14" t="e">
        <f>INDEX(orders!$P:$P,MATCH(A918,orders!$C:$C,0))</f>
        <v>#N/A</v>
      </c>
      <c r="H918" s="17">
        <f t="shared" si="86"/>
        <v>1</v>
      </c>
      <c r="I918" s="14">
        <f>IF(E918&lt;=1,1,IF(E918&lt;=2,3,5))</f>
        <v>1</v>
      </c>
      <c r="J918">
        <f>IF(F918&lt;=PERCENTILE($F$5:$F$917,0.2),1,IF(F918&lt;=PERCENTILE($F$5:$F$917,0.4),2,IF(F918&lt;=PERCENTILE($F$5:$F$917,0.6),3,IF(F918&lt;=PERCENTILE($F$5:$F$917,0.8),4,5))))</f>
        <v>1</v>
      </c>
      <c r="K918" s="14">
        <f t="shared" si="89"/>
        <v>3</v>
      </c>
      <c r="L918" t="str">
        <f t="shared" si="90"/>
        <v>Lapsed One-Time Buyers</v>
      </c>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22FC-FBAC-4726-B9AF-59C3B16AB243}">
  <dimension ref="A2:H53"/>
  <sheetViews>
    <sheetView workbookViewId="0">
      <selection activeCell="G3" sqref="G3"/>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2" spans="1:8" x14ac:dyDescent="0.3">
      <c r="H2" s="8"/>
    </row>
    <row r="3" spans="1:8" x14ac:dyDescent="0.3">
      <c r="A3" s="6" t="s">
        <v>6225</v>
      </c>
      <c r="C3" s="6" t="s">
        <v>6196</v>
      </c>
    </row>
    <row r="4" spans="1:8" x14ac:dyDescent="0.3">
      <c r="A4" s="6" t="s">
        <v>6215</v>
      </c>
      <c r="B4" s="6" t="s">
        <v>6216</v>
      </c>
      <c r="C4" t="s">
        <v>6221</v>
      </c>
      <c r="D4" t="s">
        <v>6222</v>
      </c>
      <c r="E4" t="s">
        <v>6223</v>
      </c>
      <c r="F4" t="s">
        <v>6224</v>
      </c>
      <c r="G4" t="s">
        <v>6198</v>
      </c>
    </row>
    <row r="5" spans="1:8" x14ac:dyDescent="0.3">
      <c r="A5" t="s">
        <v>6199</v>
      </c>
      <c r="B5" t="s">
        <v>6203</v>
      </c>
      <c r="C5" s="7">
        <v>186.85499999999999</v>
      </c>
      <c r="D5" s="7">
        <v>305.97000000000003</v>
      </c>
      <c r="E5" s="7">
        <v>213.15999999999997</v>
      </c>
      <c r="F5" s="7">
        <v>123</v>
      </c>
      <c r="G5" s="7">
        <v>828.98500000000001</v>
      </c>
    </row>
    <row r="6" spans="1:8" x14ac:dyDescent="0.3">
      <c r="B6" t="s">
        <v>6204</v>
      </c>
      <c r="C6" s="7">
        <v>251.96499999999997</v>
      </c>
      <c r="D6" s="7">
        <v>129.46</v>
      </c>
      <c r="E6" s="7">
        <v>434.03999999999996</v>
      </c>
      <c r="F6" s="7">
        <v>171.93999999999997</v>
      </c>
      <c r="G6" s="7">
        <v>987.40499999999986</v>
      </c>
    </row>
    <row r="7" spans="1:8" x14ac:dyDescent="0.3">
      <c r="B7" t="s">
        <v>6205</v>
      </c>
      <c r="C7" s="7">
        <v>224.94499999999999</v>
      </c>
      <c r="D7" s="7">
        <v>349.12</v>
      </c>
      <c r="E7" s="7">
        <v>321.04000000000002</v>
      </c>
      <c r="F7" s="7">
        <v>126.035</v>
      </c>
      <c r="G7" s="7">
        <v>1021.14</v>
      </c>
    </row>
    <row r="8" spans="1:8" x14ac:dyDescent="0.3">
      <c r="B8" t="s">
        <v>6206</v>
      </c>
      <c r="C8" s="7">
        <v>307.12</v>
      </c>
      <c r="D8" s="7">
        <v>681.07499999999993</v>
      </c>
      <c r="E8" s="7">
        <v>533.70499999999993</v>
      </c>
      <c r="F8" s="7">
        <v>158.85</v>
      </c>
      <c r="G8" s="7">
        <v>1680.7499999999998</v>
      </c>
    </row>
    <row r="9" spans="1:8" x14ac:dyDescent="0.3">
      <c r="B9" t="s">
        <v>6207</v>
      </c>
      <c r="C9" s="7">
        <v>53.664999999999992</v>
      </c>
      <c r="D9" s="7">
        <v>83.025000000000006</v>
      </c>
      <c r="E9" s="7">
        <v>193.83499999999998</v>
      </c>
      <c r="F9" s="7">
        <v>68.039999999999992</v>
      </c>
      <c r="G9" s="7">
        <v>398.56499999999994</v>
      </c>
    </row>
    <row r="10" spans="1:8" x14ac:dyDescent="0.3">
      <c r="B10" t="s">
        <v>6208</v>
      </c>
      <c r="C10" s="7">
        <v>163.01999999999998</v>
      </c>
      <c r="D10" s="7">
        <v>678.3599999999999</v>
      </c>
      <c r="E10" s="7">
        <v>171.04500000000002</v>
      </c>
      <c r="F10" s="7">
        <v>372.255</v>
      </c>
      <c r="G10" s="7">
        <v>1384.6799999999998</v>
      </c>
    </row>
    <row r="11" spans="1:8" x14ac:dyDescent="0.3">
      <c r="B11" t="s">
        <v>6209</v>
      </c>
      <c r="C11" s="7">
        <v>345.02</v>
      </c>
      <c r="D11" s="7">
        <v>273.86999999999995</v>
      </c>
      <c r="E11" s="7">
        <v>184.12999999999997</v>
      </c>
      <c r="F11" s="7">
        <v>201.11499999999998</v>
      </c>
      <c r="G11" s="7">
        <v>1004.1349999999999</v>
      </c>
    </row>
    <row r="12" spans="1:8" x14ac:dyDescent="0.3">
      <c r="B12" t="s">
        <v>6210</v>
      </c>
      <c r="C12" s="7">
        <v>334.89</v>
      </c>
      <c r="D12" s="7">
        <v>70.95</v>
      </c>
      <c r="E12" s="7">
        <v>134.23000000000002</v>
      </c>
      <c r="F12" s="7">
        <v>166.27499999999998</v>
      </c>
      <c r="G12" s="7">
        <v>706.34499999999991</v>
      </c>
    </row>
    <row r="13" spans="1:8" x14ac:dyDescent="0.3">
      <c r="B13" t="s">
        <v>6211</v>
      </c>
      <c r="C13" s="7">
        <v>178.70999999999998</v>
      </c>
      <c r="D13" s="7">
        <v>166.1</v>
      </c>
      <c r="E13" s="7">
        <v>439.30999999999995</v>
      </c>
      <c r="F13" s="7">
        <v>492.9</v>
      </c>
      <c r="G13" s="7">
        <v>1277.02</v>
      </c>
    </row>
    <row r="14" spans="1:8" x14ac:dyDescent="0.3">
      <c r="B14" t="s">
        <v>6212</v>
      </c>
      <c r="C14" s="7">
        <v>301.98500000000001</v>
      </c>
      <c r="D14" s="7">
        <v>153.76499999999999</v>
      </c>
      <c r="E14" s="7">
        <v>215.55499999999998</v>
      </c>
      <c r="F14" s="7">
        <v>213.66499999999999</v>
      </c>
      <c r="G14" s="7">
        <v>884.96999999999991</v>
      </c>
    </row>
    <row r="15" spans="1:8" x14ac:dyDescent="0.3">
      <c r="B15" t="s">
        <v>6213</v>
      </c>
      <c r="C15" s="7">
        <v>312.83499999999998</v>
      </c>
      <c r="D15" s="7">
        <v>63.249999999999993</v>
      </c>
      <c r="E15" s="7">
        <v>350.89500000000004</v>
      </c>
      <c r="F15" s="7">
        <v>96.405000000000001</v>
      </c>
      <c r="G15" s="7">
        <v>823.38499999999999</v>
      </c>
    </row>
    <row r="16" spans="1:8" x14ac:dyDescent="0.3">
      <c r="B16" t="s">
        <v>6214</v>
      </c>
      <c r="C16" s="7">
        <v>265.62</v>
      </c>
      <c r="D16" s="7">
        <v>526.51499999999987</v>
      </c>
      <c r="E16" s="7">
        <v>187.06</v>
      </c>
      <c r="F16" s="7">
        <v>210.58999999999997</v>
      </c>
      <c r="G16" s="7">
        <v>1189.7849999999999</v>
      </c>
    </row>
    <row r="17" spans="1:7" x14ac:dyDescent="0.3">
      <c r="A17" t="s">
        <v>6217</v>
      </c>
      <c r="C17" s="7">
        <v>2926.63</v>
      </c>
      <c r="D17" s="7">
        <v>3481.4599999999996</v>
      </c>
      <c r="E17" s="7">
        <v>3378.0049999999997</v>
      </c>
      <c r="F17" s="7">
        <v>2401.0700000000002</v>
      </c>
      <c r="G17" s="7">
        <v>12187.164999999999</v>
      </c>
    </row>
    <row r="18" spans="1:7" x14ac:dyDescent="0.3">
      <c r="A18" t="s">
        <v>6200</v>
      </c>
      <c r="B18" t="s">
        <v>6203</v>
      </c>
      <c r="C18" s="7">
        <v>47.25</v>
      </c>
      <c r="D18" s="7">
        <v>65.805000000000007</v>
      </c>
      <c r="E18" s="7">
        <v>274.67500000000001</v>
      </c>
      <c r="F18" s="7">
        <v>179.22</v>
      </c>
      <c r="G18" s="7">
        <v>566.95000000000005</v>
      </c>
    </row>
    <row r="19" spans="1:7" x14ac:dyDescent="0.3">
      <c r="B19" t="s">
        <v>6204</v>
      </c>
      <c r="C19" s="7">
        <v>745.44999999999993</v>
      </c>
      <c r="D19" s="7">
        <v>428.88499999999999</v>
      </c>
      <c r="E19" s="7">
        <v>194.17499999999998</v>
      </c>
      <c r="F19" s="7">
        <v>429.82999999999993</v>
      </c>
      <c r="G19" s="7">
        <v>1798.34</v>
      </c>
    </row>
    <row r="20" spans="1:7" x14ac:dyDescent="0.3">
      <c r="B20" t="s">
        <v>6205</v>
      </c>
      <c r="C20" s="7">
        <v>130.47</v>
      </c>
      <c r="D20" s="7">
        <v>271.48500000000001</v>
      </c>
      <c r="E20" s="7">
        <v>281.20499999999998</v>
      </c>
      <c r="F20" s="7">
        <v>231.63000000000002</v>
      </c>
      <c r="G20" s="7">
        <v>914.79000000000008</v>
      </c>
    </row>
    <row r="21" spans="1:7" x14ac:dyDescent="0.3">
      <c r="B21" t="s">
        <v>6206</v>
      </c>
      <c r="C21" s="7">
        <v>27</v>
      </c>
      <c r="D21" s="7">
        <v>347.26</v>
      </c>
      <c r="E21" s="7">
        <v>147.51</v>
      </c>
      <c r="F21" s="7">
        <v>240.04</v>
      </c>
      <c r="G21" s="7">
        <v>761.81</v>
      </c>
    </row>
    <row r="22" spans="1:7" x14ac:dyDescent="0.3">
      <c r="B22" t="s">
        <v>6207</v>
      </c>
      <c r="C22" s="7">
        <v>255.11499999999995</v>
      </c>
      <c r="D22" s="7">
        <v>541.73</v>
      </c>
      <c r="E22" s="7">
        <v>83.43</v>
      </c>
      <c r="F22" s="7">
        <v>59.079999999999991</v>
      </c>
      <c r="G22" s="7">
        <v>939.35500000000013</v>
      </c>
    </row>
    <row r="23" spans="1:7" x14ac:dyDescent="0.3">
      <c r="B23" t="s">
        <v>6208</v>
      </c>
      <c r="C23" s="7">
        <v>584.78999999999985</v>
      </c>
      <c r="D23" s="7">
        <v>357.42999999999995</v>
      </c>
      <c r="E23" s="7">
        <v>355.34</v>
      </c>
      <c r="F23" s="7">
        <v>140.88</v>
      </c>
      <c r="G23" s="7">
        <v>1438.4399999999996</v>
      </c>
    </row>
    <row r="24" spans="1:7" x14ac:dyDescent="0.3">
      <c r="B24" t="s">
        <v>6209</v>
      </c>
      <c r="C24" s="7">
        <v>430.62</v>
      </c>
      <c r="D24" s="7">
        <v>227.42500000000001</v>
      </c>
      <c r="E24" s="7">
        <v>236.315</v>
      </c>
      <c r="F24" s="7">
        <v>414.58499999999992</v>
      </c>
      <c r="G24" s="7">
        <v>1308.9450000000002</v>
      </c>
    </row>
    <row r="25" spans="1:7" x14ac:dyDescent="0.3">
      <c r="B25" t="s">
        <v>6210</v>
      </c>
      <c r="C25" s="7">
        <v>22.5</v>
      </c>
      <c r="D25" s="7">
        <v>77.72</v>
      </c>
      <c r="E25" s="7">
        <v>60.5</v>
      </c>
      <c r="F25" s="7">
        <v>139.67999999999998</v>
      </c>
      <c r="G25" s="7">
        <v>300.39999999999998</v>
      </c>
    </row>
    <row r="26" spans="1:7" x14ac:dyDescent="0.3">
      <c r="B26" t="s">
        <v>6211</v>
      </c>
      <c r="C26" s="7">
        <v>126.14999999999999</v>
      </c>
      <c r="D26" s="7">
        <v>195.11</v>
      </c>
      <c r="E26" s="7">
        <v>89.13</v>
      </c>
      <c r="F26" s="7">
        <v>302.65999999999997</v>
      </c>
      <c r="G26" s="7">
        <v>713.05</v>
      </c>
    </row>
    <row r="27" spans="1:7" x14ac:dyDescent="0.3">
      <c r="B27" t="s">
        <v>6212</v>
      </c>
      <c r="C27" s="7">
        <v>376.03</v>
      </c>
      <c r="D27" s="7">
        <v>523.24</v>
      </c>
      <c r="E27" s="7">
        <v>440.96499999999997</v>
      </c>
      <c r="F27" s="7">
        <v>174.46999999999997</v>
      </c>
      <c r="G27" s="7">
        <v>1514.7049999999999</v>
      </c>
    </row>
    <row r="28" spans="1:7" x14ac:dyDescent="0.3">
      <c r="B28" t="s">
        <v>6213</v>
      </c>
      <c r="C28" s="7">
        <v>515.17999999999995</v>
      </c>
      <c r="D28" s="7">
        <v>142.56</v>
      </c>
      <c r="E28" s="7">
        <v>347.03999999999996</v>
      </c>
      <c r="F28" s="7">
        <v>104.08499999999999</v>
      </c>
      <c r="G28" s="7">
        <v>1108.865</v>
      </c>
    </row>
    <row r="29" spans="1:7" x14ac:dyDescent="0.3">
      <c r="B29" t="s">
        <v>6214</v>
      </c>
      <c r="C29" s="7">
        <v>95.859999999999985</v>
      </c>
      <c r="D29" s="7">
        <v>484.76</v>
      </c>
      <c r="E29" s="7">
        <v>94.17</v>
      </c>
      <c r="F29" s="7">
        <v>77.10499999999999</v>
      </c>
      <c r="G29" s="7">
        <v>751.89499999999998</v>
      </c>
    </row>
    <row r="30" spans="1:7" x14ac:dyDescent="0.3">
      <c r="A30" t="s">
        <v>6218</v>
      </c>
      <c r="C30" s="7">
        <v>3356.415</v>
      </c>
      <c r="D30" s="7">
        <v>3663.41</v>
      </c>
      <c r="E30" s="7">
        <v>2604.4550000000004</v>
      </c>
      <c r="F30" s="7">
        <v>2493.2649999999999</v>
      </c>
      <c r="G30" s="7">
        <v>12117.544999999998</v>
      </c>
    </row>
    <row r="31" spans="1:7" x14ac:dyDescent="0.3">
      <c r="A31" t="s">
        <v>6201</v>
      </c>
      <c r="B31" t="s">
        <v>6203</v>
      </c>
      <c r="C31" s="7">
        <v>258.34500000000003</v>
      </c>
      <c r="D31" s="7">
        <v>139.625</v>
      </c>
      <c r="E31" s="7">
        <v>279.52000000000004</v>
      </c>
      <c r="F31" s="7">
        <v>160.19499999999999</v>
      </c>
      <c r="G31" s="7">
        <v>837.68499999999995</v>
      </c>
    </row>
    <row r="32" spans="1:7" x14ac:dyDescent="0.3">
      <c r="B32" t="s">
        <v>6204</v>
      </c>
      <c r="C32" s="7">
        <v>342.2</v>
      </c>
      <c r="D32" s="7">
        <v>284.24999999999994</v>
      </c>
      <c r="E32" s="7">
        <v>251.83</v>
      </c>
      <c r="F32" s="7">
        <v>80.550000000000011</v>
      </c>
      <c r="G32" s="7">
        <v>958.82999999999993</v>
      </c>
    </row>
    <row r="33" spans="1:7" x14ac:dyDescent="0.3">
      <c r="B33" t="s">
        <v>6205</v>
      </c>
      <c r="C33" s="7">
        <v>418.30499999999989</v>
      </c>
      <c r="D33" s="7">
        <v>468.125</v>
      </c>
      <c r="E33" s="7">
        <v>405.05500000000006</v>
      </c>
      <c r="F33" s="7">
        <v>253.15499999999997</v>
      </c>
      <c r="G33" s="7">
        <v>1544.6399999999999</v>
      </c>
    </row>
    <row r="34" spans="1:7" x14ac:dyDescent="0.3">
      <c r="B34" t="s">
        <v>6206</v>
      </c>
      <c r="C34" s="7">
        <v>102.32999999999998</v>
      </c>
      <c r="D34" s="7">
        <v>242.14000000000001</v>
      </c>
      <c r="E34" s="7">
        <v>554.875</v>
      </c>
      <c r="F34" s="7">
        <v>106.23999999999998</v>
      </c>
      <c r="G34" s="7">
        <v>1005.585</v>
      </c>
    </row>
    <row r="35" spans="1:7" x14ac:dyDescent="0.3">
      <c r="B35" t="s">
        <v>6207</v>
      </c>
      <c r="C35" s="7">
        <v>234.71999999999997</v>
      </c>
      <c r="D35" s="7">
        <v>133.08000000000001</v>
      </c>
      <c r="E35" s="7">
        <v>267.2</v>
      </c>
      <c r="F35" s="7">
        <v>272.68999999999994</v>
      </c>
      <c r="G35" s="7">
        <v>907.68999999999994</v>
      </c>
    </row>
    <row r="36" spans="1:7" x14ac:dyDescent="0.3">
      <c r="B36" t="s">
        <v>6208</v>
      </c>
      <c r="C36" s="7">
        <v>430.39</v>
      </c>
      <c r="D36" s="7">
        <v>136.20500000000001</v>
      </c>
      <c r="E36" s="7">
        <v>209.6</v>
      </c>
      <c r="F36" s="7">
        <v>88.334999999999994</v>
      </c>
      <c r="G36" s="7">
        <v>864.53000000000009</v>
      </c>
    </row>
    <row r="37" spans="1:7" x14ac:dyDescent="0.3">
      <c r="B37" t="s">
        <v>6209</v>
      </c>
      <c r="C37" s="7">
        <v>109.005</v>
      </c>
      <c r="D37" s="7">
        <v>393.57499999999999</v>
      </c>
      <c r="E37" s="7">
        <v>61.034999999999997</v>
      </c>
      <c r="F37" s="7">
        <v>199.48999999999998</v>
      </c>
      <c r="G37" s="7">
        <v>763.10500000000002</v>
      </c>
    </row>
    <row r="38" spans="1:7" x14ac:dyDescent="0.3">
      <c r="B38" t="s">
        <v>6210</v>
      </c>
      <c r="C38" s="7">
        <v>287.52499999999998</v>
      </c>
      <c r="D38" s="7">
        <v>288.67</v>
      </c>
      <c r="E38" s="7">
        <v>125.58</v>
      </c>
      <c r="F38" s="7">
        <v>374.13499999999999</v>
      </c>
      <c r="G38" s="7">
        <v>1075.9099999999999</v>
      </c>
    </row>
    <row r="39" spans="1:7" x14ac:dyDescent="0.3">
      <c r="B39" t="s">
        <v>6211</v>
      </c>
      <c r="C39" s="7">
        <v>840.92999999999984</v>
      </c>
      <c r="D39" s="7">
        <v>409.875</v>
      </c>
      <c r="E39" s="7">
        <v>171.32999999999998</v>
      </c>
      <c r="F39" s="7">
        <v>221.43999999999997</v>
      </c>
      <c r="G39" s="7">
        <v>1643.5749999999998</v>
      </c>
    </row>
    <row r="40" spans="1:7" x14ac:dyDescent="0.3">
      <c r="B40" t="s">
        <v>6212</v>
      </c>
      <c r="C40" s="7">
        <v>299.07</v>
      </c>
      <c r="D40" s="7">
        <v>260.32499999999999</v>
      </c>
      <c r="E40" s="7">
        <v>584.64</v>
      </c>
      <c r="F40" s="7">
        <v>256.36500000000001</v>
      </c>
      <c r="G40" s="7">
        <v>1400.3999999999999</v>
      </c>
    </row>
    <row r="41" spans="1:7" x14ac:dyDescent="0.3">
      <c r="B41" t="s">
        <v>6213</v>
      </c>
      <c r="C41" s="7">
        <v>323.32499999999999</v>
      </c>
      <c r="D41" s="7">
        <v>565.57000000000005</v>
      </c>
      <c r="E41" s="7">
        <v>537.80999999999995</v>
      </c>
      <c r="F41" s="7">
        <v>189.47499999999999</v>
      </c>
      <c r="G41" s="7">
        <v>1616.1799999999998</v>
      </c>
    </row>
    <row r="42" spans="1:7" x14ac:dyDescent="0.3">
      <c r="B42" t="s">
        <v>6214</v>
      </c>
      <c r="C42" s="7">
        <v>399.48499999999996</v>
      </c>
      <c r="D42" s="7">
        <v>148.19999999999999</v>
      </c>
      <c r="E42" s="7">
        <v>388.21999999999997</v>
      </c>
      <c r="F42" s="7">
        <v>212.07499999999999</v>
      </c>
      <c r="G42" s="7">
        <v>1147.98</v>
      </c>
    </row>
    <row r="43" spans="1:7" x14ac:dyDescent="0.3">
      <c r="A43" t="s">
        <v>6219</v>
      </c>
      <c r="C43" s="7">
        <v>4045.63</v>
      </c>
      <c r="D43" s="7">
        <v>3469.64</v>
      </c>
      <c r="E43" s="7">
        <v>3836.6949999999997</v>
      </c>
      <c r="F43" s="7">
        <v>2414.145</v>
      </c>
      <c r="G43" s="7">
        <v>13766.109999999999</v>
      </c>
    </row>
    <row r="44" spans="1:7" x14ac:dyDescent="0.3">
      <c r="A44" t="s">
        <v>6202</v>
      </c>
      <c r="B44" t="s">
        <v>6203</v>
      </c>
      <c r="C44" s="7">
        <v>112.69499999999999</v>
      </c>
      <c r="D44" s="7">
        <v>166.32</v>
      </c>
      <c r="E44" s="7">
        <v>843.71499999999992</v>
      </c>
      <c r="F44" s="7">
        <v>146.685</v>
      </c>
      <c r="G44" s="7">
        <v>1269.415</v>
      </c>
    </row>
    <row r="45" spans="1:7" x14ac:dyDescent="0.3">
      <c r="B45" t="s">
        <v>6204</v>
      </c>
      <c r="C45" s="7">
        <v>114.87999999999998</v>
      </c>
      <c r="D45" s="7">
        <v>133.815</v>
      </c>
      <c r="E45" s="7">
        <v>91.175000000000011</v>
      </c>
      <c r="F45" s="7">
        <v>53.759999999999991</v>
      </c>
      <c r="G45" s="7">
        <v>393.63</v>
      </c>
    </row>
    <row r="46" spans="1:7" x14ac:dyDescent="0.3">
      <c r="B46" t="s">
        <v>6205</v>
      </c>
      <c r="C46" s="7">
        <v>277.76</v>
      </c>
      <c r="D46" s="7">
        <v>175.41</v>
      </c>
      <c r="E46" s="7">
        <v>462.50999999999993</v>
      </c>
      <c r="F46" s="7">
        <v>399.52499999999998</v>
      </c>
      <c r="G46" s="7">
        <v>1315.2049999999999</v>
      </c>
    </row>
    <row r="47" spans="1:7" x14ac:dyDescent="0.3">
      <c r="B47" t="s">
        <v>6206</v>
      </c>
      <c r="C47" s="7">
        <v>197.89499999999998</v>
      </c>
      <c r="D47" s="7">
        <v>289.755</v>
      </c>
      <c r="E47" s="7">
        <v>88.545000000000002</v>
      </c>
      <c r="F47" s="7">
        <v>200.25499999999997</v>
      </c>
      <c r="G47" s="7">
        <v>776.44999999999993</v>
      </c>
    </row>
    <row r="48" spans="1:7" x14ac:dyDescent="0.3">
      <c r="B48" t="s">
        <v>6207</v>
      </c>
      <c r="C48" s="7">
        <v>193.11499999999998</v>
      </c>
      <c r="D48" s="7">
        <v>212.49499999999998</v>
      </c>
      <c r="E48" s="7">
        <v>292.29000000000002</v>
      </c>
      <c r="F48" s="7">
        <v>304.46999999999997</v>
      </c>
      <c r="G48" s="7">
        <v>1002.3699999999999</v>
      </c>
    </row>
    <row r="49" spans="1:7" x14ac:dyDescent="0.3">
      <c r="B49" t="s">
        <v>6208</v>
      </c>
      <c r="C49" s="7">
        <v>179.79</v>
      </c>
      <c r="D49" s="7">
        <v>426.2</v>
      </c>
      <c r="E49" s="7">
        <v>170.08999999999997</v>
      </c>
      <c r="F49" s="7">
        <v>379.31</v>
      </c>
      <c r="G49" s="7">
        <v>1155.3899999999999</v>
      </c>
    </row>
    <row r="50" spans="1:7" x14ac:dyDescent="0.3">
      <c r="B50" t="s">
        <v>6209</v>
      </c>
      <c r="C50" s="7">
        <v>247.28999999999996</v>
      </c>
      <c r="D50" s="7">
        <v>246.685</v>
      </c>
      <c r="E50" s="7">
        <v>271.05499999999995</v>
      </c>
      <c r="F50" s="7">
        <v>141.69999999999999</v>
      </c>
      <c r="G50" s="7">
        <v>906.73</v>
      </c>
    </row>
    <row r="51" spans="1:7" x14ac:dyDescent="0.3">
      <c r="B51" t="s">
        <v>6210</v>
      </c>
      <c r="C51" s="7">
        <v>116.39499999999998</v>
      </c>
      <c r="D51" s="7">
        <v>41.25</v>
      </c>
      <c r="E51" s="7">
        <v>15.54</v>
      </c>
      <c r="F51" s="7">
        <v>71.06</v>
      </c>
      <c r="G51" s="7">
        <v>244.24499999999998</v>
      </c>
    </row>
    <row r="52" spans="1:7" x14ac:dyDescent="0.3">
      <c r="A52" t="s">
        <v>6220</v>
      </c>
      <c r="C52" s="7">
        <v>1439.82</v>
      </c>
      <c r="D52" s="7">
        <v>1691.9299999999998</v>
      </c>
      <c r="E52" s="7">
        <v>2234.9199999999996</v>
      </c>
      <c r="F52" s="7">
        <v>1696.7649999999999</v>
      </c>
      <c r="G52" s="7">
        <v>7063.4349999999986</v>
      </c>
    </row>
    <row r="53" spans="1:7" x14ac:dyDescent="0.3">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C966-35DF-46D9-B745-30F8BB5AF3E9}">
  <dimension ref="A2:H7"/>
  <sheetViews>
    <sheetView workbookViewId="0">
      <selection activeCell="A5" sqref="A5"/>
    </sheetView>
  </sheetViews>
  <sheetFormatPr defaultRowHeight="14.4" x14ac:dyDescent="0.3"/>
  <cols>
    <col min="1" max="1" width="14"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7</v>
      </c>
      <c r="B3" t="s">
        <v>6225</v>
      </c>
    </row>
    <row r="4" spans="1:8" x14ac:dyDescent="0.3">
      <c r="A4" t="s">
        <v>28</v>
      </c>
      <c r="B4" s="9">
        <v>2798.5050000000001</v>
      </c>
    </row>
    <row r="5" spans="1:8" x14ac:dyDescent="0.3">
      <c r="A5" t="s">
        <v>318</v>
      </c>
      <c r="B5" s="9">
        <v>6696.8649999999989</v>
      </c>
    </row>
    <row r="6" spans="1:8" x14ac:dyDescent="0.3">
      <c r="A6" t="s">
        <v>19</v>
      </c>
      <c r="B6" s="9">
        <v>35638.88499999998</v>
      </c>
    </row>
    <row r="7" spans="1:8" x14ac:dyDescent="0.3">
      <c r="A7" t="s">
        <v>6198</v>
      </c>
      <c r="B7" s="9">
        <v>45134.254999999976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0C0C-DB73-4BC6-A116-FD2FB15198E7}">
  <dimension ref="A2:H9"/>
  <sheetViews>
    <sheetView workbookViewId="0">
      <selection activeCell="G11" sqref="G11"/>
    </sheetView>
  </sheetViews>
  <sheetFormatPr defaultRowHeight="14.4" x14ac:dyDescent="0.3"/>
  <cols>
    <col min="1" max="1" width="16.88671875"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4</v>
      </c>
      <c r="B3" t="s">
        <v>6225</v>
      </c>
    </row>
    <row r="4" spans="1:8" x14ac:dyDescent="0.3">
      <c r="A4" t="s">
        <v>3753</v>
      </c>
      <c r="B4" s="9">
        <v>278.01</v>
      </c>
    </row>
    <row r="5" spans="1:8" x14ac:dyDescent="0.3">
      <c r="A5" t="s">
        <v>1598</v>
      </c>
      <c r="B5" s="9">
        <v>281.67499999999995</v>
      </c>
    </row>
    <row r="6" spans="1:8" x14ac:dyDescent="0.3">
      <c r="A6" t="s">
        <v>2587</v>
      </c>
      <c r="B6" s="9">
        <v>289.11</v>
      </c>
    </row>
    <row r="7" spans="1:8" x14ac:dyDescent="0.3">
      <c r="A7" t="s">
        <v>5765</v>
      </c>
      <c r="B7" s="9">
        <v>307.04499999999996</v>
      </c>
    </row>
    <row r="8" spans="1:8" x14ac:dyDescent="0.3">
      <c r="A8" t="s">
        <v>5114</v>
      </c>
      <c r="B8" s="9">
        <v>317.06999999999994</v>
      </c>
    </row>
    <row r="9" spans="1:8" x14ac:dyDescent="0.3">
      <c r="A9" t="s">
        <v>6198</v>
      </c>
      <c r="B9" s="9">
        <v>1472.9099999999999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62C0-56B9-4F03-A800-3FFC1DDAF0AF}">
  <dimension ref="A1:A27"/>
  <sheetViews>
    <sheetView showGridLines="0" showRowColHeaders="0" zoomScale="83" workbookViewId="0">
      <selection activeCell="AC12" sqref="AC12"/>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6FA27-9A76-475C-85B0-0959DDE0C3FC}">
  <dimension ref="A3:A917"/>
  <sheetViews>
    <sheetView topLeftCell="A886" workbookViewId="0">
      <selection activeCell="A907" sqref="A907"/>
    </sheetView>
  </sheetViews>
  <sheetFormatPr defaultRowHeight="14.4" x14ac:dyDescent="0.3"/>
  <cols>
    <col min="1" max="1" width="16" bestFit="1" customWidth="1"/>
  </cols>
  <sheetData>
    <row r="3" spans="1:1" x14ac:dyDescent="0.3">
      <c r="A3" s="6" t="s">
        <v>6227</v>
      </c>
    </row>
    <row r="4" spans="1:1" x14ac:dyDescent="0.3">
      <c r="A4" s="11" t="s">
        <v>4390</v>
      </c>
    </row>
    <row r="5" spans="1:1" x14ac:dyDescent="0.3">
      <c r="A5" s="11" t="s">
        <v>1437</v>
      </c>
    </row>
    <row r="6" spans="1:1" x14ac:dyDescent="0.3">
      <c r="A6" s="11" t="s">
        <v>4036</v>
      </c>
    </row>
    <row r="7" spans="1:1" x14ac:dyDescent="0.3">
      <c r="A7" s="11" t="s">
        <v>1054</v>
      </c>
    </row>
    <row r="8" spans="1:1" x14ac:dyDescent="0.3">
      <c r="A8" s="11" t="s">
        <v>5257</v>
      </c>
    </row>
    <row r="9" spans="1:1" x14ac:dyDescent="0.3">
      <c r="A9" s="11" t="s">
        <v>5840</v>
      </c>
    </row>
    <row r="10" spans="1:1" x14ac:dyDescent="0.3">
      <c r="A10" s="11" t="s">
        <v>650</v>
      </c>
    </row>
    <row r="11" spans="1:1" x14ac:dyDescent="0.3">
      <c r="A11" s="11" t="s">
        <v>1672</v>
      </c>
    </row>
    <row r="12" spans="1:1" x14ac:dyDescent="0.3">
      <c r="A12" s="11" t="s">
        <v>6059</v>
      </c>
    </row>
    <row r="13" spans="1:1" x14ac:dyDescent="0.3">
      <c r="A13" s="11" t="s">
        <v>1294</v>
      </c>
    </row>
    <row r="14" spans="1:1" x14ac:dyDescent="0.3">
      <c r="A14" s="11" t="s">
        <v>4581</v>
      </c>
    </row>
    <row r="15" spans="1:1" x14ac:dyDescent="0.3">
      <c r="A15" s="11" t="s">
        <v>1539</v>
      </c>
    </row>
    <row r="16" spans="1:1" x14ac:dyDescent="0.3">
      <c r="A16" s="11" t="s">
        <v>850</v>
      </c>
    </row>
    <row r="17" spans="1:1" x14ac:dyDescent="0.3">
      <c r="A17" s="11" t="s">
        <v>5769</v>
      </c>
    </row>
    <row r="18" spans="1:1" x14ac:dyDescent="0.3">
      <c r="A18" s="11" t="s">
        <v>5074</v>
      </c>
    </row>
    <row r="19" spans="1:1" x14ac:dyDescent="0.3">
      <c r="A19" s="11" t="s">
        <v>1639</v>
      </c>
    </row>
    <row r="20" spans="1:1" x14ac:dyDescent="0.3">
      <c r="A20" s="11" t="s">
        <v>4933</v>
      </c>
    </row>
    <row r="21" spans="1:1" x14ac:dyDescent="0.3">
      <c r="A21" s="11" t="s">
        <v>4008</v>
      </c>
    </row>
    <row r="22" spans="1:1" x14ac:dyDescent="0.3">
      <c r="A22" s="11" t="s">
        <v>2776</v>
      </c>
    </row>
    <row r="23" spans="1:1" x14ac:dyDescent="0.3">
      <c r="A23" s="11" t="s">
        <v>1708</v>
      </c>
    </row>
    <row r="24" spans="1:1" x14ac:dyDescent="0.3">
      <c r="A24" s="11" t="s">
        <v>3618</v>
      </c>
    </row>
    <row r="25" spans="1:1" x14ac:dyDescent="0.3">
      <c r="A25" s="11" t="s">
        <v>1246</v>
      </c>
    </row>
    <row r="26" spans="1:1" x14ac:dyDescent="0.3">
      <c r="A26" s="11" t="s">
        <v>4418</v>
      </c>
    </row>
    <row r="27" spans="1:1" x14ac:dyDescent="0.3">
      <c r="A27" s="11" t="s">
        <v>609</v>
      </c>
    </row>
    <row r="28" spans="1:1" x14ac:dyDescent="0.3">
      <c r="A28" s="11" t="s">
        <v>2086</v>
      </c>
    </row>
    <row r="29" spans="1:1" x14ac:dyDescent="0.3">
      <c r="A29" s="11" t="s">
        <v>1234</v>
      </c>
    </row>
    <row r="30" spans="1:1" x14ac:dyDescent="0.3">
      <c r="A30" s="11" t="s">
        <v>536</v>
      </c>
    </row>
    <row r="31" spans="1:1" x14ac:dyDescent="0.3">
      <c r="A31" s="11" t="s">
        <v>2940</v>
      </c>
    </row>
    <row r="32" spans="1:1" x14ac:dyDescent="0.3">
      <c r="A32" s="11" t="s">
        <v>6082</v>
      </c>
    </row>
    <row r="33" spans="1:1" x14ac:dyDescent="0.3">
      <c r="A33" s="11" t="s">
        <v>3182</v>
      </c>
    </row>
    <row r="34" spans="1:1" x14ac:dyDescent="0.3">
      <c r="A34" s="11" t="s">
        <v>734</v>
      </c>
    </row>
    <row r="35" spans="1:1" x14ac:dyDescent="0.3">
      <c r="A35" s="11" t="s">
        <v>5867</v>
      </c>
    </row>
    <row r="36" spans="1:1" x14ac:dyDescent="0.3">
      <c r="A36" s="11" t="s">
        <v>1334</v>
      </c>
    </row>
    <row r="37" spans="1:1" x14ac:dyDescent="0.3">
      <c r="A37" s="11" t="s">
        <v>823</v>
      </c>
    </row>
    <row r="38" spans="1:1" x14ac:dyDescent="0.3">
      <c r="A38" s="11" t="s">
        <v>1913</v>
      </c>
    </row>
    <row r="39" spans="1:1" x14ac:dyDescent="0.3">
      <c r="A39" s="11" t="s">
        <v>1935</v>
      </c>
    </row>
    <row r="40" spans="1:1" x14ac:dyDescent="0.3">
      <c r="A40" s="11" t="s">
        <v>806</v>
      </c>
    </row>
    <row r="41" spans="1:1" x14ac:dyDescent="0.3">
      <c r="A41" s="11" t="s">
        <v>5873</v>
      </c>
    </row>
    <row r="42" spans="1:1" x14ac:dyDescent="0.3">
      <c r="A42" s="11" t="s">
        <v>1471</v>
      </c>
    </row>
    <row r="43" spans="1:1" x14ac:dyDescent="0.3">
      <c r="A43" s="11" t="s">
        <v>4298</v>
      </c>
    </row>
    <row r="44" spans="1:1" x14ac:dyDescent="0.3">
      <c r="A44" s="11" t="s">
        <v>3840</v>
      </c>
    </row>
    <row r="45" spans="1:1" x14ac:dyDescent="0.3">
      <c r="A45" s="11" t="s">
        <v>818</v>
      </c>
    </row>
    <row r="46" spans="1:1" x14ac:dyDescent="0.3">
      <c r="A46" s="11" t="s">
        <v>1784</v>
      </c>
    </row>
    <row r="47" spans="1:1" x14ac:dyDescent="0.3">
      <c r="A47" s="11" t="s">
        <v>3464</v>
      </c>
    </row>
    <row r="48" spans="1:1" x14ac:dyDescent="0.3">
      <c r="A48" s="11" t="s">
        <v>6042</v>
      </c>
    </row>
    <row r="49" spans="1:1" x14ac:dyDescent="0.3">
      <c r="A49" s="11" t="s">
        <v>3494</v>
      </c>
    </row>
    <row r="50" spans="1:1" x14ac:dyDescent="0.3">
      <c r="A50" s="11" t="s">
        <v>2302</v>
      </c>
    </row>
    <row r="51" spans="1:1" x14ac:dyDescent="0.3">
      <c r="A51" s="11" t="s">
        <v>3221</v>
      </c>
    </row>
    <row r="52" spans="1:1" x14ac:dyDescent="0.3">
      <c r="A52" s="11" t="s">
        <v>3278</v>
      </c>
    </row>
    <row r="53" spans="1:1" x14ac:dyDescent="0.3">
      <c r="A53" s="11" t="s">
        <v>5633</v>
      </c>
    </row>
    <row r="54" spans="1:1" x14ac:dyDescent="0.3">
      <c r="A54" s="11" t="s">
        <v>5962</v>
      </c>
    </row>
    <row r="55" spans="1:1" x14ac:dyDescent="0.3">
      <c r="A55" s="11" t="s">
        <v>739</v>
      </c>
    </row>
    <row r="56" spans="1:1" x14ac:dyDescent="0.3">
      <c r="A56" s="11" t="s">
        <v>2734</v>
      </c>
    </row>
    <row r="57" spans="1:1" x14ac:dyDescent="0.3">
      <c r="A57" s="11" t="s">
        <v>1421</v>
      </c>
    </row>
    <row r="58" spans="1:1" x14ac:dyDescent="0.3">
      <c r="A58" s="11" t="s">
        <v>3301</v>
      </c>
    </row>
    <row r="59" spans="1:1" x14ac:dyDescent="0.3">
      <c r="A59" s="11" t="s">
        <v>1096</v>
      </c>
    </row>
    <row r="60" spans="1:1" x14ac:dyDescent="0.3">
      <c r="A60" s="11" t="s">
        <v>2441</v>
      </c>
    </row>
    <row r="61" spans="1:1" x14ac:dyDescent="0.3">
      <c r="A61" s="11" t="s">
        <v>5490</v>
      </c>
    </row>
    <row r="62" spans="1:1" x14ac:dyDescent="0.3">
      <c r="A62" s="11" t="s">
        <v>1118</v>
      </c>
    </row>
    <row r="63" spans="1:1" x14ac:dyDescent="0.3">
      <c r="A63" s="11" t="s">
        <v>3566</v>
      </c>
    </row>
    <row r="64" spans="1:1" x14ac:dyDescent="0.3">
      <c r="A64" s="11" t="s">
        <v>633</v>
      </c>
    </row>
    <row r="65" spans="1:1" x14ac:dyDescent="0.3">
      <c r="A65" s="11" t="s">
        <v>6008</v>
      </c>
    </row>
    <row r="66" spans="1:1" x14ac:dyDescent="0.3">
      <c r="A66" s="11" t="s">
        <v>1947</v>
      </c>
    </row>
    <row r="67" spans="1:1" x14ac:dyDescent="0.3">
      <c r="A67" s="11" t="s">
        <v>1999</v>
      </c>
    </row>
    <row r="68" spans="1:1" x14ac:dyDescent="0.3">
      <c r="A68" s="11" t="s">
        <v>1272</v>
      </c>
    </row>
    <row r="69" spans="1:1" x14ac:dyDescent="0.3">
      <c r="A69" s="11" t="s">
        <v>5159</v>
      </c>
    </row>
    <row r="70" spans="1:1" x14ac:dyDescent="0.3">
      <c r="A70" s="11" t="s">
        <v>5103</v>
      </c>
    </row>
    <row r="71" spans="1:1" x14ac:dyDescent="0.3">
      <c r="A71" s="11" t="s">
        <v>2993</v>
      </c>
    </row>
    <row r="72" spans="1:1" x14ac:dyDescent="0.3">
      <c r="A72" s="11" t="s">
        <v>721</v>
      </c>
    </row>
    <row r="73" spans="1:1" x14ac:dyDescent="0.3">
      <c r="A73" s="11" t="s">
        <v>1867</v>
      </c>
    </row>
    <row r="74" spans="1:1" x14ac:dyDescent="0.3">
      <c r="A74" s="11" t="s">
        <v>6048</v>
      </c>
    </row>
    <row r="75" spans="1:1" x14ac:dyDescent="0.3">
      <c r="A75" s="11" t="s">
        <v>4815</v>
      </c>
    </row>
    <row r="76" spans="1:1" x14ac:dyDescent="0.3">
      <c r="A76" s="11" t="s">
        <v>2667</v>
      </c>
    </row>
    <row r="77" spans="1:1" x14ac:dyDescent="0.3">
      <c r="A77" s="11" t="s">
        <v>706</v>
      </c>
    </row>
    <row r="78" spans="1:1" x14ac:dyDescent="0.3">
      <c r="A78" s="11" t="s">
        <v>2415</v>
      </c>
    </row>
    <row r="79" spans="1:1" x14ac:dyDescent="0.3">
      <c r="A79" s="11" t="s">
        <v>1277</v>
      </c>
    </row>
    <row r="80" spans="1:1" x14ac:dyDescent="0.3">
      <c r="A80" s="11" t="s">
        <v>1627</v>
      </c>
    </row>
    <row r="81" spans="1:1" x14ac:dyDescent="0.3">
      <c r="A81" s="11" t="s">
        <v>1049</v>
      </c>
    </row>
    <row r="82" spans="1:1" x14ac:dyDescent="0.3">
      <c r="A82" s="11" t="s">
        <v>1901</v>
      </c>
    </row>
    <row r="83" spans="1:1" x14ac:dyDescent="0.3">
      <c r="A83" s="11" t="s">
        <v>5346</v>
      </c>
    </row>
    <row r="84" spans="1:1" x14ac:dyDescent="0.3">
      <c r="A84" s="11" t="s">
        <v>4904</v>
      </c>
    </row>
    <row r="85" spans="1:1" x14ac:dyDescent="0.3">
      <c r="A85" s="11" t="s">
        <v>1107</v>
      </c>
    </row>
    <row r="86" spans="1:1" x14ac:dyDescent="0.3">
      <c r="A86" s="11" t="s">
        <v>3973</v>
      </c>
    </row>
    <row r="87" spans="1:1" x14ac:dyDescent="0.3">
      <c r="A87" s="11" t="s">
        <v>4648</v>
      </c>
    </row>
    <row r="88" spans="1:1" x14ac:dyDescent="0.3">
      <c r="A88" s="11" t="s">
        <v>2164</v>
      </c>
    </row>
    <row r="89" spans="1:1" x14ac:dyDescent="0.3">
      <c r="A89" s="11" t="s">
        <v>5950</v>
      </c>
    </row>
    <row r="90" spans="1:1" x14ac:dyDescent="0.3">
      <c r="A90" s="11" t="s">
        <v>3896</v>
      </c>
    </row>
    <row r="91" spans="1:1" x14ac:dyDescent="0.3">
      <c r="A91" s="11" t="s">
        <v>3215</v>
      </c>
    </row>
    <row r="92" spans="1:1" x14ac:dyDescent="0.3">
      <c r="A92" s="11" t="s">
        <v>801</v>
      </c>
    </row>
    <row r="93" spans="1:1" x14ac:dyDescent="0.3">
      <c r="A93" s="11" t="s">
        <v>3119</v>
      </c>
    </row>
    <row r="94" spans="1:1" x14ac:dyDescent="0.3">
      <c r="A94" s="11" t="s">
        <v>3159</v>
      </c>
    </row>
    <row r="95" spans="1:1" x14ac:dyDescent="0.3">
      <c r="A95" s="11" t="s">
        <v>3594</v>
      </c>
    </row>
    <row r="96" spans="1:1" x14ac:dyDescent="0.3">
      <c r="A96" s="11" t="s">
        <v>3808</v>
      </c>
    </row>
    <row r="97" spans="1:1" x14ac:dyDescent="0.3">
      <c r="A97" s="11" t="s">
        <v>1737</v>
      </c>
    </row>
    <row r="98" spans="1:1" x14ac:dyDescent="0.3">
      <c r="A98" s="11" t="s">
        <v>3454</v>
      </c>
    </row>
    <row r="99" spans="1:1" x14ac:dyDescent="0.3">
      <c r="A99" s="11" t="s">
        <v>4671</v>
      </c>
    </row>
    <row r="100" spans="1:1" x14ac:dyDescent="0.3">
      <c r="A100" s="11" t="s">
        <v>3824</v>
      </c>
    </row>
    <row r="101" spans="1:1" x14ac:dyDescent="0.3">
      <c r="A101" s="11" t="s">
        <v>5386</v>
      </c>
    </row>
    <row r="102" spans="1:1" x14ac:dyDescent="0.3">
      <c r="A102" s="11" t="s">
        <v>2711</v>
      </c>
    </row>
    <row r="103" spans="1:1" x14ac:dyDescent="0.3">
      <c r="A103" s="11" t="s">
        <v>4484</v>
      </c>
    </row>
    <row r="104" spans="1:1" x14ac:dyDescent="0.3">
      <c r="A104" s="11" t="s">
        <v>1813</v>
      </c>
    </row>
    <row r="105" spans="1:1" x14ac:dyDescent="0.3">
      <c r="A105" s="11" t="s">
        <v>1760</v>
      </c>
    </row>
    <row r="106" spans="1:1" x14ac:dyDescent="0.3">
      <c r="A106" s="11" t="s">
        <v>4777</v>
      </c>
    </row>
    <row r="107" spans="1:1" x14ac:dyDescent="0.3">
      <c r="A107" s="11" t="s">
        <v>5212</v>
      </c>
    </row>
    <row r="108" spans="1:1" x14ac:dyDescent="0.3">
      <c r="A108" s="11" t="s">
        <v>2764</v>
      </c>
    </row>
    <row r="109" spans="1:1" x14ac:dyDescent="0.3">
      <c r="A109" s="11" t="s">
        <v>5694</v>
      </c>
    </row>
    <row r="110" spans="1:1" x14ac:dyDescent="0.3">
      <c r="A110" s="11" t="s">
        <v>920</v>
      </c>
    </row>
    <row r="111" spans="1:1" x14ac:dyDescent="0.3">
      <c r="A111" s="11" t="s">
        <v>4186</v>
      </c>
    </row>
    <row r="112" spans="1:1" x14ac:dyDescent="0.3">
      <c r="A112" s="11" t="s">
        <v>1362</v>
      </c>
    </row>
    <row r="113" spans="1:1" x14ac:dyDescent="0.3">
      <c r="A113" s="11" t="s">
        <v>1953</v>
      </c>
    </row>
    <row r="114" spans="1:1" x14ac:dyDescent="0.3">
      <c r="A114" s="11" t="s">
        <v>4876</v>
      </c>
    </row>
    <row r="115" spans="1:1" x14ac:dyDescent="0.3">
      <c r="A115" s="11" t="s">
        <v>1329</v>
      </c>
    </row>
    <row r="116" spans="1:1" x14ac:dyDescent="0.3">
      <c r="A116" s="11" t="s">
        <v>2026</v>
      </c>
    </row>
    <row r="117" spans="1:1" x14ac:dyDescent="0.3">
      <c r="A117" s="11" t="s">
        <v>1850</v>
      </c>
    </row>
    <row r="118" spans="1:1" x14ac:dyDescent="0.3">
      <c r="A118" s="11" t="s">
        <v>5118</v>
      </c>
    </row>
    <row r="119" spans="1:1" x14ac:dyDescent="0.3">
      <c r="A119" s="11" t="s">
        <v>2380</v>
      </c>
    </row>
    <row r="120" spans="1:1" x14ac:dyDescent="0.3">
      <c r="A120" s="11" t="s">
        <v>2840</v>
      </c>
    </row>
    <row r="121" spans="1:1" x14ac:dyDescent="0.3">
      <c r="A121" s="11" t="s">
        <v>5229</v>
      </c>
    </row>
    <row r="122" spans="1:1" x14ac:dyDescent="0.3">
      <c r="A122" s="11" t="s">
        <v>3628</v>
      </c>
    </row>
    <row r="123" spans="1:1" x14ac:dyDescent="0.3">
      <c r="A123" s="11" t="s">
        <v>5263</v>
      </c>
    </row>
    <row r="124" spans="1:1" x14ac:dyDescent="0.3">
      <c r="A124" s="11" t="s">
        <v>3997</v>
      </c>
    </row>
    <row r="125" spans="1:1" x14ac:dyDescent="0.3">
      <c r="A125" s="11" t="s">
        <v>1044</v>
      </c>
    </row>
    <row r="126" spans="1:1" x14ac:dyDescent="0.3">
      <c r="A126" s="11" t="s">
        <v>5716</v>
      </c>
    </row>
    <row r="127" spans="1:1" x14ac:dyDescent="0.3">
      <c r="A127" s="11" t="s">
        <v>4424</v>
      </c>
    </row>
    <row r="128" spans="1:1" x14ac:dyDescent="0.3">
      <c r="A128" s="11" t="s">
        <v>3830</v>
      </c>
    </row>
    <row r="129" spans="1:1" x14ac:dyDescent="0.3">
      <c r="A129" s="11" t="s">
        <v>1754</v>
      </c>
    </row>
    <row r="130" spans="1:1" x14ac:dyDescent="0.3">
      <c r="A130" s="11" t="s">
        <v>1019</v>
      </c>
    </row>
    <row r="131" spans="1:1" x14ac:dyDescent="0.3">
      <c r="A131" s="11" t="s">
        <v>700</v>
      </c>
    </row>
    <row r="132" spans="1:1" x14ac:dyDescent="0.3">
      <c r="A132" s="11" t="s">
        <v>3249</v>
      </c>
    </row>
    <row r="133" spans="1:1" x14ac:dyDescent="0.3">
      <c r="A133" s="11" t="s">
        <v>879</v>
      </c>
    </row>
    <row r="134" spans="1:1" x14ac:dyDescent="0.3">
      <c r="A134" s="11" t="s">
        <v>2918</v>
      </c>
    </row>
    <row r="135" spans="1:1" x14ac:dyDescent="0.3">
      <c r="A135" s="11" t="s">
        <v>656</v>
      </c>
    </row>
    <row r="136" spans="1:1" x14ac:dyDescent="0.3">
      <c r="A136" s="11" t="s">
        <v>855</v>
      </c>
    </row>
    <row r="137" spans="1:1" x14ac:dyDescent="0.3">
      <c r="A137" s="11" t="s">
        <v>5798</v>
      </c>
    </row>
    <row r="138" spans="1:1" x14ac:dyDescent="0.3">
      <c r="A138" s="11" t="s">
        <v>2804</v>
      </c>
    </row>
    <row r="139" spans="1:1" x14ac:dyDescent="0.3">
      <c r="A139" s="11" t="s">
        <v>1861</v>
      </c>
    </row>
    <row r="140" spans="1:1" x14ac:dyDescent="0.3">
      <c r="A140" s="11" t="s">
        <v>3946</v>
      </c>
    </row>
    <row r="141" spans="1:1" x14ac:dyDescent="0.3">
      <c r="A141" s="11" t="s">
        <v>4018</v>
      </c>
    </row>
    <row r="142" spans="1:1" x14ac:dyDescent="0.3">
      <c r="A142" s="11" t="s">
        <v>4042</v>
      </c>
    </row>
    <row r="143" spans="1:1" x14ac:dyDescent="0.3">
      <c r="A143" s="11" t="s">
        <v>3356</v>
      </c>
    </row>
    <row r="144" spans="1:1" x14ac:dyDescent="0.3">
      <c r="A144" s="11" t="s">
        <v>5856</v>
      </c>
    </row>
    <row r="145" spans="1:1" x14ac:dyDescent="0.3">
      <c r="A145" s="11" t="s">
        <v>1374</v>
      </c>
    </row>
    <row r="146" spans="1:1" x14ac:dyDescent="0.3">
      <c r="A146" s="11" t="s">
        <v>903</v>
      </c>
    </row>
    <row r="147" spans="1:1" x14ac:dyDescent="0.3">
      <c r="A147" s="11" t="s">
        <v>1090</v>
      </c>
    </row>
    <row r="148" spans="1:1" x14ac:dyDescent="0.3">
      <c r="A148" s="11" t="s">
        <v>5835</v>
      </c>
    </row>
    <row r="149" spans="1:1" x14ac:dyDescent="0.3">
      <c r="A149" s="11" t="s">
        <v>5025</v>
      </c>
    </row>
    <row r="150" spans="1:1" x14ac:dyDescent="0.3">
      <c r="A150" s="11" t="s">
        <v>5352</v>
      </c>
    </row>
    <row r="151" spans="1:1" x14ac:dyDescent="0.3">
      <c r="A151" s="11" t="s">
        <v>762</v>
      </c>
    </row>
    <row r="152" spans="1:1" x14ac:dyDescent="0.3">
      <c r="A152" s="11" t="s">
        <v>3059</v>
      </c>
    </row>
    <row r="153" spans="1:1" x14ac:dyDescent="0.3">
      <c r="A153" s="11" t="s">
        <v>4360</v>
      </c>
    </row>
    <row r="154" spans="1:1" x14ac:dyDescent="0.3">
      <c r="A154" s="11" t="s">
        <v>2782</v>
      </c>
    </row>
    <row r="155" spans="1:1" x14ac:dyDescent="0.3">
      <c r="A155" s="11" t="s">
        <v>2877</v>
      </c>
    </row>
    <row r="156" spans="1:1" x14ac:dyDescent="0.3">
      <c r="A156" s="11" t="s">
        <v>2045</v>
      </c>
    </row>
    <row r="157" spans="1:1" x14ac:dyDescent="0.3">
      <c r="A157" s="11" t="s">
        <v>5592</v>
      </c>
    </row>
    <row r="158" spans="1:1" x14ac:dyDescent="0.3">
      <c r="A158" s="11" t="s">
        <v>3036</v>
      </c>
    </row>
    <row r="159" spans="1:1" x14ac:dyDescent="0.3">
      <c r="A159" s="11" t="s">
        <v>2200</v>
      </c>
    </row>
    <row r="160" spans="1:1" x14ac:dyDescent="0.3">
      <c r="A160" s="11" t="s">
        <v>5428</v>
      </c>
    </row>
    <row r="161" spans="1:1" x14ac:dyDescent="0.3">
      <c r="A161" s="11" t="s">
        <v>2586</v>
      </c>
    </row>
    <row r="162" spans="1:1" x14ac:dyDescent="0.3">
      <c r="A162" s="11" t="s">
        <v>1597</v>
      </c>
    </row>
    <row r="163" spans="1:1" x14ac:dyDescent="0.3">
      <c r="A163" s="11" t="s">
        <v>2672</v>
      </c>
    </row>
    <row r="164" spans="1:1" x14ac:dyDescent="0.3">
      <c r="A164" s="11" t="s">
        <v>3985</v>
      </c>
    </row>
    <row r="165" spans="1:1" x14ac:dyDescent="0.3">
      <c r="A165" s="11" t="s">
        <v>4075</v>
      </c>
    </row>
    <row r="166" spans="1:1" x14ac:dyDescent="0.3">
      <c r="A166" s="11" t="s">
        <v>1008</v>
      </c>
    </row>
    <row r="167" spans="1:1" x14ac:dyDescent="0.3">
      <c r="A167" s="11" t="s">
        <v>1390</v>
      </c>
    </row>
    <row r="168" spans="1:1" x14ac:dyDescent="0.3">
      <c r="A168" s="11" t="s">
        <v>5467</v>
      </c>
    </row>
    <row r="169" spans="1:1" x14ac:dyDescent="0.3">
      <c r="A169" s="11" t="s">
        <v>2119</v>
      </c>
    </row>
    <row r="170" spans="1:1" x14ac:dyDescent="0.3">
      <c r="A170" s="11" t="s">
        <v>491</v>
      </c>
    </row>
    <row r="171" spans="1:1" x14ac:dyDescent="0.3">
      <c r="A171" s="11" t="s">
        <v>4654</v>
      </c>
    </row>
    <row r="172" spans="1:1" x14ac:dyDescent="0.3">
      <c r="A172" s="11" t="s">
        <v>3918</v>
      </c>
    </row>
    <row r="173" spans="1:1" x14ac:dyDescent="0.3">
      <c r="A173" s="11" t="s">
        <v>5235</v>
      </c>
    </row>
    <row r="174" spans="1:1" x14ac:dyDescent="0.3">
      <c r="A174" s="11" t="s">
        <v>3476</v>
      </c>
    </row>
    <row r="175" spans="1:1" x14ac:dyDescent="0.3">
      <c r="A175" s="11" t="s">
        <v>4314</v>
      </c>
    </row>
    <row r="176" spans="1:1" x14ac:dyDescent="0.3">
      <c r="A176" s="11" t="s">
        <v>3666</v>
      </c>
    </row>
    <row r="177" spans="1:1" x14ac:dyDescent="0.3">
      <c r="A177" s="11" t="s">
        <v>2814</v>
      </c>
    </row>
    <row r="178" spans="1:1" x14ac:dyDescent="0.3">
      <c r="A178" s="11" t="s">
        <v>4467</v>
      </c>
    </row>
    <row r="179" spans="1:1" x14ac:dyDescent="0.3">
      <c r="A179" s="11" t="s">
        <v>4063</v>
      </c>
    </row>
    <row r="180" spans="1:1" x14ac:dyDescent="0.3">
      <c r="A180" s="11" t="s">
        <v>2222</v>
      </c>
    </row>
    <row r="181" spans="1:1" x14ac:dyDescent="0.3">
      <c r="A181" s="11" t="s">
        <v>1211</v>
      </c>
    </row>
    <row r="182" spans="1:1" x14ac:dyDescent="0.3">
      <c r="A182" s="11" t="s">
        <v>2819</v>
      </c>
    </row>
    <row r="183" spans="1:1" x14ac:dyDescent="0.3">
      <c r="A183" s="11" t="s">
        <v>4848</v>
      </c>
    </row>
    <row r="184" spans="1:1" x14ac:dyDescent="0.3">
      <c r="A184" s="11" t="s">
        <v>5036</v>
      </c>
    </row>
    <row r="185" spans="1:1" x14ac:dyDescent="0.3">
      <c r="A185" s="11" t="s">
        <v>3752</v>
      </c>
    </row>
    <row r="186" spans="1:1" x14ac:dyDescent="0.3">
      <c r="A186" s="11" t="s">
        <v>3940</v>
      </c>
    </row>
    <row r="187" spans="1:1" x14ac:dyDescent="0.3">
      <c r="A187" s="11" t="s">
        <v>2320</v>
      </c>
    </row>
    <row r="188" spans="1:1" x14ac:dyDescent="0.3">
      <c r="A188" s="11" t="s">
        <v>5414</v>
      </c>
    </row>
    <row r="189" spans="1:1" x14ac:dyDescent="0.3">
      <c r="A189" s="11" t="s">
        <v>4478</v>
      </c>
    </row>
    <row r="190" spans="1:1" x14ac:dyDescent="0.3">
      <c r="A190" s="11" t="s">
        <v>1533</v>
      </c>
    </row>
    <row r="191" spans="1:1" x14ac:dyDescent="0.3">
      <c r="A191" s="11" t="s">
        <v>5615</v>
      </c>
    </row>
    <row r="192" spans="1:1" x14ac:dyDescent="0.3">
      <c r="A192" s="11" t="s">
        <v>5434</v>
      </c>
    </row>
    <row r="193" spans="1:1" x14ac:dyDescent="0.3">
      <c r="A193" s="11" t="s">
        <v>1141</v>
      </c>
    </row>
    <row r="194" spans="1:1" x14ac:dyDescent="0.3">
      <c r="A194" s="11" t="s">
        <v>4621</v>
      </c>
    </row>
    <row r="195" spans="1:1" x14ac:dyDescent="0.3">
      <c r="A195" s="11" t="s">
        <v>3961</v>
      </c>
    </row>
    <row r="196" spans="1:1" x14ac:dyDescent="0.3">
      <c r="A196" s="11" t="s">
        <v>5462</v>
      </c>
    </row>
    <row r="197" spans="1:1" x14ac:dyDescent="0.3">
      <c r="A197" s="11" t="s">
        <v>1890</v>
      </c>
    </row>
    <row r="198" spans="1:1" x14ac:dyDescent="0.3">
      <c r="A198" s="11" t="s">
        <v>4910</v>
      </c>
    </row>
    <row r="199" spans="1:1" x14ac:dyDescent="0.3">
      <c r="A199" s="11" t="s">
        <v>502</v>
      </c>
    </row>
    <row r="200" spans="1:1" x14ac:dyDescent="0.3">
      <c r="A200" s="11" t="s">
        <v>531</v>
      </c>
    </row>
    <row r="201" spans="1:1" x14ac:dyDescent="0.3">
      <c r="A201" s="11" t="s">
        <v>4489</v>
      </c>
    </row>
    <row r="202" spans="1:1" x14ac:dyDescent="0.3">
      <c r="A202" s="11" t="s">
        <v>2149</v>
      </c>
    </row>
    <row r="203" spans="1:1" x14ac:dyDescent="0.3">
      <c r="A203" s="11" t="s">
        <v>716</v>
      </c>
    </row>
    <row r="204" spans="1:1" x14ac:dyDescent="0.3">
      <c r="A204" s="11" t="s">
        <v>4980</v>
      </c>
    </row>
    <row r="205" spans="1:1" x14ac:dyDescent="0.3">
      <c r="A205" s="11" t="s">
        <v>5457</v>
      </c>
    </row>
    <row r="206" spans="1:1" x14ac:dyDescent="0.3">
      <c r="A206" s="11" t="s">
        <v>4372</v>
      </c>
    </row>
    <row r="207" spans="1:1" x14ac:dyDescent="0.3">
      <c r="A207" s="11" t="s">
        <v>2929</v>
      </c>
    </row>
    <row r="208" spans="1:1" x14ac:dyDescent="0.3">
      <c r="A208" s="11" t="s">
        <v>2651</v>
      </c>
    </row>
    <row r="209" spans="1:1" x14ac:dyDescent="0.3">
      <c r="A209" s="11" t="s">
        <v>795</v>
      </c>
    </row>
    <row r="210" spans="1:1" x14ac:dyDescent="0.3">
      <c r="A210" s="11" t="s">
        <v>3131</v>
      </c>
    </row>
    <row r="211" spans="1:1" x14ac:dyDescent="0.3">
      <c r="A211" s="11" t="s">
        <v>1101</v>
      </c>
    </row>
    <row r="212" spans="1:1" x14ac:dyDescent="0.3">
      <c r="A212" s="11" t="s">
        <v>2210</v>
      </c>
    </row>
    <row r="213" spans="1:1" x14ac:dyDescent="0.3">
      <c r="A213" s="11" t="s">
        <v>5340</v>
      </c>
    </row>
    <row r="214" spans="1:1" x14ac:dyDescent="0.3">
      <c r="A214" s="11" t="s">
        <v>3324</v>
      </c>
    </row>
    <row r="215" spans="1:1" x14ac:dyDescent="0.3">
      <c r="A215" s="11" t="s">
        <v>3488</v>
      </c>
    </row>
    <row r="216" spans="1:1" x14ac:dyDescent="0.3">
      <c r="A216" s="11" t="s">
        <v>3785</v>
      </c>
    </row>
    <row r="217" spans="1:1" x14ac:dyDescent="0.3">
      <c r="A217" s="11" t="s">
        <v>2493</v>
      </c>
    </row>
    <row r="218" spans="1:1" x14ac:dyDescent="0.3">
      <c r="A218" s="11" t="s">
        <v>3482</v>
      </c>
    </row>
    <row r="219" spans="1:1" x14ac:dyDescent="0.3">
      <c r="A219" s="11" t="s">
        <v>4197</v>
      </c>
    </row>
    <row r="220" spans="1:1" x14ac:dyDescent="0.3">
      <c r="A220" s="11" t="s">
        <v>3071</v>
      </c>
    </row>
    <row r="221" spans="1:1" x14ac:dyDescent="0.3">
      <c r="A221" s="11" t="s">
        <v>3065</v>
      </c>
    </row>
    <row r="222" spans="1:1" x14ac:dyDescent="0.3">
      <c r="A222" s="11" t="s">
        <v>1796</v>
      </c>
    </row>
    <row r="223" spans="1:1" x14ac:dyDescent="0.3">
      <c r="A223" s="11" t="s">
        <v>1345</v>
      </c>
    </row>
    <row r="224" spans="1:1" x14ac:dyDescent="0.3">
      <c r="A224" s="11" t="s">
        <v>513</v>
      </c>
    </row>
    <row r="225" spans="1:1" x14ac:dyDescent="0.3">
      <c r="A225" s="11" t="s">
        <v>5200</v>
      </c>
    </row>
    <row r="226" spans="1:1" x14ac:dyDescent="0.3">
      <c r="A226" s="11" t="s">
        <v>627</v>
      </c>
    </row>
    <row r="227" spans="1:1" x14ac:dyDescent="0.3">
      <c r="A227" s="11" t="s">
        <v>3934</v>
      </c>
    </row>
    <row r="228" spans="1:1" x14ac:dyDescent="0.3">
      <c r="A228" s="11" t="s">
        <v>5927</v>
      </c>
    </row>
    <row r="229" spans="1:1" x14ac:dyDescent="0.3">
      <c r="A229" s="11" t="s">
        <v>4706</v>
      </c>
    </row>
    <row r="230" spans="1:1" x14ac:dyDescent="0.3">
      <c r="A230" s="11" t="s">
        <v>3165</v>
      </c>
    </row>
    <row r="231" spans="1:1" x14ac:dyDescent="0.3">
      <c r="A231" s="11" t="s">
        <v>4158</v>
      </c>
    </row>
    <row r="232" spans="1:1" x14ac:dyDescent="0.3">
      <c r="A232" s="11" t="s">
        <v>1644</v>
      </c>
    </row>
    <row r="233" spans="1:1" x14ac:dyDescent="0.3">
      <c r="A233" s="11" t="s">
        <v>688</v>
      </c>
    </row>
    <row r="234" spans="1:1" x14ac:dyDescent="0.3">
      <c r="A234" s="11" t="s">
        <v>3634</v>
      </c>
    </row>
    <row r="235" spans="1:1" x14ac:dyDescent="0.3">
      <c r="A235" s="11" t="s">
        <v>4603</v>
      </c>
    </row>
    <row r="236" spans="1:1" x14ac:dyDescent="0.3">
      <c r="A236" s="11" t="s">
        <v>4759</v>
      </c>
    </row>
    <row r="237" spans="1:1" x14ac:dyDescent="0.3">
      <c r="A237" s="11" t="s">
        <v>4689</v>
      </c>
    </row>
    <row r="238" spans="1:1" x14ac:dyDescent="0.3">
      <c r="A238" s="11" t="s">
        <v>4269</v>
      </c>
    </row>
    <row r="239" spans="1:1" x14ac:dyDescent="0.3">
      <c r="A239" s="11" t="s">
        <v>577</v>
      </c>
    </row>
    <row r="240" spans="1:1" x14ac:dyDescent="0.3">
      <c r="A240" s="11" t="s">
        <v>4440</v>
      </c>
    </row>
    <row r="241" spans="1:1" x14ac:dyDescent="0.3">
      <c r="A241" s="11" t="s">
        <v>2010</v>
      </c>
    </row>
    <row r="242" spans="1:1" x14ac:dyDescent="0.3">
      <c r="A242" s="11" t="s">
        <v>5316</v>
      </c>
    </row>
    <row r="243" spans="1:1" x14ac:dyDescent="0.3">
      <c r="A243" s="11" t="s">
        <v>3350</v>
      </c>
    </row>
    <row r="244" spans="1:1" x14ac:dyDescent="0.3">
      <c r="A244" s="11" t="s">
        <v>812</v>
      </c>
    </row>
    <row r="245" spans="1:1" x14ac:dyDescent="0.3">
      <c r="A245" s="11" t="s">
        <v>1976</v>
      </c>
    </row>
    <row r="246" spans="1:1" x14ac:dyDescent="0.3">
      <c r="A246" s="11" t="s">
        <v>943</v>
      </c>
    </row>
    <row r="247" spans="1:1" x14ac:dyDescent="0.3">
      <c r="A247" s="11" t="s">
        <v>3746</v>
      </c>
    </row>
    <row r="248" spans="1:1" x14ac:dyDescent="0.3">
      <c r="A248" s="11" t="s">
        <v>4400</v>
      </c>
    </row>
    <row r="249" spans="1:1" x14ac:dyDescent="0.3">
      <c r="A249" s="11" t="s">
        <v>4742</v>
      </c>
    </row>
    <row r="250" spans="1:1" x14ac:dyDescent="0.3">
      <c r="A250" s="11" t="s">
        <v>785</v>
      </c>
    </row>
    <row r="251" spans="1:1" x14ac:dyDescent="0.3">
      <c r="A251" s="11" t="s">
        <v>2292</v>
      </c>
    </row>
    <row r="252" spans="1:1" x14ac:dyDescent="0.3">
      <c r="A252" s="11" t="s">
        <v>3194</v>
      </c>
    </row>
    <row r="253" spans="1:1" x14ac:dyDescent="0.3">
      <c r="A253" s="11" t="s">
        <v>1702</v>
      </c>
    </row>
    <row r="254" spans="1:1" x14ac:dyDescent="0.3">
      <c r="A254" s="11" t="s">
        <v>3188</v>
      </c>
    </row>
    <row r="255" spans="1:1" x14ac:dyDescent="0.3">
      <c r="A255" s="11" t="s">
        <v>4724</v>
      </c>
    </row>
    <row r="256" spans="1:1" x14ac:dyDescent="0.3">
      <c r="A256" s="11" t="s">
        <v>3701</v>
      </c>
    </row>
    <row r="257" spans="1:1" x14ac:dyDescent="0.3">
      <c r="A257" s="11" t="s">
        <v>5979</v>
      </c>
    </row>
    <row r="258" spans="1:1" x14ac:dyDescent="0.3">
      <c r="A258" s="11" t="s">
        <v>2051</v>
      </c>
    </row>
    <row r="259" spans="1:1" x14ac:dyDescent="0.3">
      <c r="A259" s="11" t="s">
        <v>4257</v>
      </c>
    </row>
    <row r="260" spans="1:1" x14ac:dyDescent="0.3">
      <c r="A260" s="11" t="s">
        <v>5113</v>
      </c>
    </row>
    <row r="261" spans="1:1" x14ac:dyDescent="0.3">
      <c r="A261" s="11" t="s">
        <v>4643</v>
      </c>
    </row>
    <row r="262" spans="1:1" x14ac:dyDescent="0.3">
      <c r="A262" s="11" t="s">
        <v>5749</v>
      </c>
    </row>
    <row r="263" spans="1:1" x14ac:dyDescent="0.3">
      <c r="A263" s="11" t="s">
        <v>1476</v>
      </c>
    </row>
    <row r="264" spans="1:1" x14ac:dyDescent="0.3">
      <c r="A264" s="11" t="s">
        <v>5538</v>
      </c>
    </row>
    <row r="265" spans="1:1" x14ac:dyDescent="0.3">
      <c r="A265" s="11" t="s">
        <v>3077</v>
      </c>
    </row>
    <row r="266" spans="1:1" x14ac:dyDescent="0.3">
      <c r="A266" s="11" t="s">
        <v>914</v>
      </c>
    </row>
    <row r="267" spans="1:1" x14ac:dyDescent="0.3">
      <c r="A267" s="11" t="s">
        <v>6026</v>
      </c>
    </row>
    <row r="268" spans="1:1" x14ac:dyDescent="0.3">
      <c r="A268" s="11" t="s">
        <v>1550</v>
      </c>
    </row>
    <row r="269" spans="1:1" x14ac:dyDescent="0.3">
      <c r="A269" s="11" t="s">
        <v>2690</v>
      </c>
    </row>
    <row r="270" spans="1:1" x14ac:dyDescent="0.3">
      <c r="A270" s="11" t="s">
        <v>1028</v>
      </c>
    </row>
    <row r="271" spans="1:1" x14ac:dyDescent="0.3">
      <c r="A271" s="11" t="s">
        <v>4099</v>
      </c>
    </row>
    <row r="272" spans="1:1" x14ac:dyDescent="0.3">
      <c r="A272" s="11" t="s">
        <v>3979</v>
      </c>
    </row>
    <row r="273" spans="1:1" x14ac:dyDescent="0.3">
      <c r="A273" s="11" t="s">
        <v>3967</v>
      </c>
    </row>
    <row r="274" spans="1:1" x14ac:dyDescent="0.3">
      <c r="A274" s="11" t="s">
        <v>5003</v>
      </c>
    </row>
    <row r="275" spans="1:1" x14ac:dyDescent="0.3">
      <c r="A275" s="11" t="s">
        <v>4986</v>
      </c>
    </row>
    <row r="276" spans="1:1" x14ac:dyDescent="0.3">
      <c r="A276" s="11" t="s">
        <v>2522</v>
      </c>
    </row>
    <row r="277" spans="1:1" x14ac:dyDescent="0.3">
      <c r="A277" s="11" t="s">
        <v>4240</v>
      </c>
    </row>
    <row r="278" spans="1:1" x14ac:dyDescent="0.3">
      <c r="A278" s="11" t="s">
        <v>2628</v>
      </c>
    </row>
    <row r="279" spans="1:1" x14ac:dyDescent="0.3">
      <c r="A279" s="11" t="s">
        <v>4180</v>
      </c>
    </row>
    <row r="280" spans="1:1" x14ac:dyDescent="0.3">
      <c r="A280" s="11" t="s">
        <v>966</v>
      </c>
    </row>
    <row r="281" spans="1:1" x14ac:dyDescent="0.3">
      <c r="A281" s="11" t="s">
        <v>1002</v>
      </c>
    </row>
    <row r="282" spans="1:1" x14ac:dyDescent="0.3">
      <c r="A282" s="11" t="s">
        <v>2039</v>
      </c>
    </row>
    <row r="283" spans="1:1" x14ac:dyDescent="0.3">
      <c r="A283" s="11" t="s">
        <v>3791</v>
      </c>
    </row>
    <row r="284" spans="1:1" x14ac:dyDescent="0.3">
      <c r="A284" s="11" t="s">
        <v>4899</v>
      </c>
    </row>
    <row r="285" spans="1:1" x14ac:dyDescent="0.3">
      <c r="A285" s="11" t="s">
        <v>972</v>
      </c>
    </row>
    <row r="286" spans="1:1" x14ac:dyDescent="0.3">
      <c r="A286" s="11" t="s">
        <v>2550</v>
      </c>
    </row>
    <row r="287" spans="1:1" x14ac:dyDescent="0.3">
      <c r="A287" s="11" t="s">
        <v>5845</v>
      </c>
    </row>
    <row r="288" spans="1:1" x14ac:dyDescent="0.3">
      <c r="A288" s="11" t="s">
        <v>4916</v>
      </c>
    </row>
    <row r="289" spans="1:1" x14ac:dyDescent="0.3">
      <c r="A289" s="11" t="s">
        <v>3543</v>
      </c>
    </row>
    <row r="290" spans="1:1" x14ac:dyDescent="0.3">
      <c r="A290" s="11" t="s">
        <v>2598</v>
      </c>
    </row>
    <row r="291" spans="1:1" x14ac:dyDescent="0.3">
      <c r="A291" s="11" t="s">
        <v>3538</v>
      </c>
    </row>
    <row r="292" spans="1:1" x14ac:dyDescent="0.3">
      <c r="A292" s="11" t="s">
        <v>3729</v>
      </c>
    </row>
    <row r="293" spans="1:1" x14ac:dyDescent="0.3">
      <c r="A293" s="11" t="s">
        <v>5322</v>
      </c>
    </row>
    <row r="294" spans="1:1" x14ac:dyDescent="0.3">
      <c r="A294" s="11" t="s">
        <v>1819</v>
      </c>
    </row>
    <row r="295" spans="1:1" x14ac:dyDescent="0.3">
      <c r="A295" s="11" t="s">
        <v>1970</v>
      </c>
    </row>
    <row r="296" spans="1:1" x14ac:dyDescent="0.3">
      <c r="A296" s="11" t="s">
        <v>2544</v>
      </c>
    </row>
    <row r="297" spans="1:1" x14ac:dyDescent="0.3">
      <c r="A297" s="11" t="s">
        <v>2900</v>
      </c>
    </row>
    <row r="298" spans="1:1" x14ac:dyDescent="0.3">
      <c r="A298" s="11" t="s">
        <v>1556</v>
      </c>
    </row>
    <row r="299" spans="1:1" x14ac:dyDescent="0.3">
      <c r="A299" s="11" t="s">
        <v>4263</v>
      </c>
    </row>
    <row r="300" spans="1:1" x14ac:dyDescent="0.3">
      <c r="A300" s="11" t="s">
        <v>5422</v>
      </c>
    </row>
    <row r="301" spans="1:1" x14ac:dyDescent="0.3">
      <c r="A301" s="11" t="s">
        <v>1829</v>
      </c>
    </row>
    <row r="302" spans="1:1" x14ac:dyDescent="0.3">
      <c r="A302" s="11" t="s">
        <v>861</v>
      </c>
    </row>
    <row r="303" spans="1:1" x14ac:dyDescent="0.3">
      <c r="A303" s="11" t="s">
        <v>3255</v>
      </c>
    </row>
    <row r="304" spans="1:1" x14ac:dyDescent="0.3">
      <c r="A304" s="11" t="s">
        <v>2182</v>
      </c>
    </row>
    <row r="305" spans="1:1" x14ac:dyDescent="0.3">
      <c r="A305" s="11" t="s">
        <v>4893</v>
      </c>
    </row>
    <row r="306" spans="1:1" x14ac:dyDescent="0.3">
      <c r="A306" s="11" t="s">
        <v>5688</v>
      </c>
    </row>
    <row r="307" spans="1:1" x14ac:dyDescent="0.3">
      <c r="A307" s="11" t="s">
        <v>1072</v>
      </c>
    </row>
    <row r="308" spans="1:1" x14ac:dyDescent="0.3">
      <c r="A308" s="11" t="s">
        <v>560</v>
      </c>
    </row>
    <row r="309" spans="1:1" x14ac:dyDescent="0.3">
      <c r="A309" s="11" t="s">
        <v>4462</v>
      </c>
    </row>
    <row r="310" spans="1:1" x14ac:dyDescent="0.3">
      <c r="A310" s="11" t="s">
        <v>5732</v>
      </c>
    </row>
    <row r="311" spans="1:1" x14ac:dyDescent="0.3">
      <c r="A311" s="11" t="s">
        <v>2788</v>
      </c>
    </row>
    <row r="312" spans="1:1" x14ac:dyDescent="0.3">
      <c r="A312" s="11" t="s">
        <v>5549</v>
      </c>
    </row>
    <row r="313" spans="1:1" x14ac:dyDescent="0.3">
      <c r="A313" s="11" t="s">
        <v>1959</v>
      </c>
    </row>
    <row r="314" spans="1:1" x14ac:dyDescent="0.3">
      <c r="A314" s="11" t="s">
        <v>4129</v>
      </c>
    </row>
    <row r="315" spans="1:1" x14ac:dyDescent="0.3">
      <c r="A315" s="11" t="s">
        <v>4517</v>
      </c>
    </row>
    <row r="316" spans="1:1" x14ac:dyDescent="0.3">
      <c r="A316" s="11" t="s">
        <v>5829</v>
      </c>
    </row>
    <row r="317" spans="1:1" x14ac:dyDescent="0.3">
      <c r="A317" s="11" t="s">
        <v>4094</v>
      </c>
    </row>
    <row r="318" spans="1:1" x14ac:dyDescent="0.3">
      <c r="A318" s="11" t="s">
        <v>1695</v>
      </c>
    </row>
    <row r="319" spans="1:1" x14ac:dyDescent="0.3">
      <c r="A319" s="11" t="s">
        <v>4575</v>
      </c>
    </row>
    <row r="320" spans="1:1" x14ac:dyDescent="0.3">
      <c r="A320" s="11" t="s">
        <v>2499</v>
      </c>
    </row>
    <row r="321" spans="1:1" x14ac:dyDescent="0.3">
      <c r="A321" s="11" t="s">
        <v>5804</v>
      </c>
    </row>
    <row r="322" spans="1:1" x14ac:dyDescent="0.3">
      <c r="A322" s="11" t="s">
        <v>2430</v>
      </c>
    </row>
    <row r="323" spans="1:1" x14ac:dyDescent="0.3">
      <c r="A323" s="11" t="s">
        <v>2752</v>
      </c>
    </row>
    <row r="324" spans="1:1" x14ac:dyDescent="0.3">
      <c r="A324" s="11" t="s">
        <v>756</v>
      </c>
    </row>
    <row r="325" spans="1:1" x14ac:dyDescent="0.3">
      <c r="A325" s="11" t="s">
        <v>5700</v>
      </c>
    </row>
    <row r="326" spans="1:1" x14ac:dyDescent="0.3">
      <c r="A326" s="11" t="s">
        <v>4683</v>
      </c>
    </row>
    <row r="327" spans="1:1" x14ac:dyDescent="0.3">
      <c r="A327" s="11" t="s">
        <v>1987</v>
      </c>
    </row>
    <row r="328" spans="1:1" x14ac:dyDescent="0.3">
      <c r="A328" s="11" t="s">
        <v>3154</v>
      </c>
    </row>
    <row r="329" spans="1:1" x14ac:dyDescent="0.3">
      <c r="A329" s="11" t="s">
        <v>2057</v>
      </c>
    </row>
    <row r="330" spans="1:1" x14ac:dyDescent="0.3">
      <c r="A330" s="11" t="s">
        <v>3011</v>
      </c>
    </row>
    <row r="331" spans="1:1" x14ac:dyDescent="0.3">
      <c r="A331" s="11" t="s">
        <v>2409</v>
      </c>
    </row>
    <row r="332" spans="1:1" x14ac:dyDescent="0.3">
      <c r="A332" s="11" t="s">
        <v>2194</v>
      </c>
    </row>
    <row r="333" spans="1:1" x14ac:dyDescent="0.3">
      <c r="A333" s="11" t="s">
        <v>2610</v>
      </c>
    </row>
    <row r="334" spans="1:1" x14ac:dyDescent="0.3">
      <c r="A334" s="11" t="s">
        <v>2280</v>
      </c>
    </row>
    <row r="335" spans="1:1" x14ac:dyDescent="0.3">
      <c r="A335" s="11" t="s">
        <v>1199</v>
      </c>
    </row>
    <row r="336" spans="1:1" x14ac:dyDescent="0.3">
      <c r="A336" s="11" t="s">
        <v>2233</v>
      </c>
    </row>
    <row r="337" spans="1:1" x14ac:dyDescent="0.3">
      <c r="A337" s="11" t="s">
        <v>2251</v>
      </c>
    </row>
    <row r="338" spans="1:1" x14ac:dyDescent="0.3">
      <c r="A338" s="11" t="s">
        <v>1633</v>
      </c>
    </row>
    <row r="339" spans="1:1" x14ac:dyDescent="0.3">
      <c r="A339" s="11" t="s">
        <v>615</v>
      </c>
    </row>
    <row r="340" spans="1:1" x14ac:dyDescent="0.3">
      <c r="A340" s="11" t="s">
        <v>5306</v>
      </c>
    </row>
    <row r="341" spans="1:1" x14ac:dyDescent="0.3">
      <c r="A341" s="11" t="s">
        <v>3237</v>
      </c>
    </row>
    <row r="342" spans="1:1" x14ac:dyDescent="0.3">
      <c r="A342" s="11" t="s">
        <v>1714</v>
      </c>
    </row>
    <row r="343" spans="1:1" x14ac:dyDescent="0.3">
      <c r="A343" s="11" t="s">
        <v>6107</v>
      </c>
    </row>
    <row r="344" spans="1:1" x14ac:dyDescent="0.3">
      <c r="A344" s="11" t="s">
        <v>1442</v>
      </c>
    </row>
    <row r="345" spans="1:1" x14ac:dyDescent="0.3">
      <c r="A345" s="11" t="s">
        <v>3774</v>
      </c>
    </row>
    <row r="346" spans="1:1" x14ac:dyDescent="0.3">
      <c r="A346" s="11" t="s">
        <v>1488</v>
      </c>
    </row>
    <row r="347" spans="1:1" x14ac:dyDescent="0.3">
      <c r="A347" s="11" t="s">
        <v>5171</v>
      </c>
    </row>
    <row r="348" spans="1:1" x14ac:dyDescent="0.3">
      <c r="A348" s="11" t="s">
        <v>1323</v>
      </c>
    </row>
    <row r="349" spans="1:1" x14ac:dyDescent="0.3">
      <c r="A349" s="11" t="s">
        <v>677</v>
      </c>
    </row>
    <row r="350" spans="1:1" x14ac:dyDescent="0.3">
      <c r="A350" s="11" t="s">
        <v>997</v>
      </c>
    </row>
    <row r="351" spans="1:1" x14ac:dyDescent="0.3">
      <c r="A351" s="11" t="s">
        <v>4343</v>
      </c>
    </row>
    <row r="352" spans="1:1" x14ac:dyDescent="0.3">
      <c r="A352" s="11" t="s">
        <v>4451</v>
      </c>
    </row>
    <row r="353" spans="1:1" x14ac:dyDescent="0.3">
      <c r="A353" s="11" t="s">
        <v>566</v>
      </c>
    </row>
    <row r="354" spans="1:1" x14ac:dyDescent="0.3">
      <c r="A354" s="11" t="s">
        <v>3901</v>
      </c>
    </row>
    <row r="355" spans="1:1" x14ac:dyDescent="0.3">
      <c r="A355" s="11" t="s">
        <v>4202</v>
      </c>
    </row>
    <row r="356" spans="1:1" x14ac:dyDescent="0.3">
      <c r="A356" s="11" t="s">
        <v>3442</v>
      </c>
    </row>
    <row r="357" spans="1:1" x14ac:dyDescent="0.3">
      <c r="A357" s="11" t="s">
        <v>3768</v>
      </c>
    </row>
    <row r="358" spans="1:1" x14ac:dyDescent="0.3">
      <c r="A358" s="11" t="s">
        <v>1300</v>
      </c>
    </row>
    <row r="359" spans="1:1" x14ac:dyDescent="0.3">
      <c r="A359" s="11" t="s">
        <v>1312</v>
      </c>
    </row>
    <row r="360" spans="1:1" x14ac:dyDescent="0.3">
      <c r="A360" s="11" t="s">
        <v>4124</v>
      </c>
    </row>
    <row r="361" spans="1:1" x14ac:dyDescent="0.3">
      <c r="A361" s="11" t="s">
        <v>4292</v>
      </c>
    </row>
    <row r="362" spans="1:1" x14ac:dyDescent="0.3">
      <c r="A362" s="11" t="s">
        <v>5726</v>
      </c>
    </row>
    <row r="363" spans="1:1" x14ac:dyDescent="0.3">
      <c r="A363" s="11" t="s">
        <v>4224</v>
      </c>
    </row>
    <row r="364" spans="1:1" x14ac:dyDescent="0.3">
      <c r="A364" s="11" t="s">
        <v>5621</v>
      </c>
    </row>
    <row r="365" spans="1:1" x14ac:dyDescent="0.3">
      <c r="A365" s="11" t="s">
        <v>5063</v>
      </c>
    </row>
    <row r="366" spans="1:1" x14ac:dyDescent="0.3">
      <c r="A366" s="11" t="s">
        <v>4798</v>
      </c>
    </row>
    <row r="367" spans="1:1" x14ac:dyDescent="0.3">
      <c r="A367" s="11" t="s">
        <v>5068</v>
      </c>
    </row>
    <row r="368" spans="1:1" x14ac:dyDescent="0.3">
      <c r="A368" s="11" t="s">
        <v>1023</v>
      </c>
    </row>
    <row r="369" spans="1:1" x14ac:dyDescent="0.3">
      <c r="A369" s="11" t="s">
        <v>5911</v>
      </c>
    </row>
    <row r="370" spans="1:1" x14ac:dyDescent="0.3">
      <c r="A370" s="11" t="s">
        <v>4736</v>
      </c>
    </row>
    <row r="371" spans="1:1" x14ac:dyDescent="0.3">
      <c r="A371" s="11" t="s">
        <v>5247</v>
      </c>
    </row>
    <row r="372" spans="1:1" x14ac:dyDescent="0.3">
      <c r="A372" s="11" t="s">
        <v>3951</v>
      </c>
    </row>
    <row r="373" spans="1:1" x14ac:dyDescent="0.3">
      <c r="A373" s="11" t="s">
        <v>1855</v>
      </c>
    </row>
    <row r="374" spans="1:1" x14ac:dyDescent="0.3">
      <c r="A374" s="11" t="s">
        <v>3878</v>
      </c>
    </row>
    <row r="375" spans="1:1" x14ac:dyDescent="0.3">
      <c r="A375" s="11" t="s">
        <v>5165</v>
      </c>
    </row>
    <row r="376" spans="1:1" x14ac:dyDescent="0.3">
      <c r="A376" s="11" t="s">
        <v>2678</v>
      </c>
    </row>
    <row r="377" spans="1:1" x14ac:dyDescent="0.3">
      <c r="A377" s="11" t="s">
        <v>3083</v>
      </c>
    </row>
    <row r="378" spans="1:1" x14ac:dyDescent="0.3">
      <c r="A378" s="11" t="s">
        <v>873</v>
      </c>
    </row>
    <row r="379" spans="1:1" x14ac:dyDescent="0.3">
      <c r="A379" s="11" t="s">
        <v>6112</v>
      </c>
    </row>
    <row r="380" spans="1:1" x14ac:dyDescent="0.3">
      <c r="A380" s="11" t="s">
        <v>1465</v>
      </c>
    </row>
    <row r="381" spans="1:1" x14ac:dyDescent="0.3">
      <c r="A381" s="11" t="s">
        <v>3725</v>
      </c>
    </row>
    <row r="382" spans="1:1" x14ac:dyDescent="0.3">
      <c r="A382" s="11" t="s">
        <v>2331</v>
      </c>
    </row>
    <row r="383" spans="1:1" x14ac:dyDescent="0.3">
      <c r="A383" s="11" t="s">
        <v>4859</v>
      </c>
    </row>
    <row r="384" spans="1:1" x14ac:dyDescent="0.3">
      <c r="A384" s="11" t="s">
        <v>2645</v>
      </c>
    </row>
    <row r="385" spans="1:1" x14ac:dyDescent="0.3">
      <c r="A385" s="11" t="s">
        <v>3414</v>
      </c>
    </row>
    <row r="386" spans="1:1" x14ac:dyDescent="0.3">
      <c r="A386" s="11" t="s">
        <v>2033</v>
      </c>
    </row>
    <row r="387" spans="1:1" x14ac:dyDescent="0.3">
      <c r="A387" s="11" t="s">
        <v>2845</v>
      </c>
    </row>
    <row r="388" spans="1:1" x14ac:dyDescent="0.3">
      <c r="A388" s="11" t="s">
        <v>4771</v>
      </c>
    </row>
    <row r="389" spans="1:1" x14ac:dyDescent="0.3">
      <c r="A389" s="11" t="s">
        <v>2740</v>
      </c>
    </row>
    <row r="390" spans="1:1" x14ac:dyDescent="0.3">
      <c r="A390" s="11" t="s">
        <v>5604</v>
      </c>
    </row>
    <row r="391" spans="1:1" x14ac:dyDescent="0.3">
      <c r="A391" s="11" t="s">
        <v>2516</v>
      </c>
    </row>
    <row r="392" spans="1:1" x14ac:dyDescent="0.3">
      <c r="A392" s="11" t="s">
        <v>2488</v>
      </c>
    </row>
    <row r="393" spans="1:1" x14ac:dyDescent="0.3">
      <c r="A393" s="11" t="s">
        <v>5754</v>
      </c>
    </row>
    <row r="394" spans="1:1" x14ac:dyDescent="0.3">
      <c r="A394" s="11" t="s">
        <v>2746</v>
      </c>
    </row>
    <row r="395" spans="1:1" x14ac:dyDescent="0.3">
      <c r="A395" s="11" t="s">
        <v>2397</v>
      </c>
    </row>
    <row r="396" spans="1:1" x14ac:dyDescent="0.3">
      <c r="A396" s="11" t="s">
        <v>682</v>
      </c>
    </row>
    <row r="397" spans="1:1" x14ac:dyDescent="0.3">
      <c r="A397" s="11" t="s">
        <v>773</v>
      </c>
    </row>
    <row r="398" spans="1:1" x14ac:dyDescent="0.3">
      <c r="A398" s="11" t="s">
        <v>1060</v>
      </c>
    </row>
    <row r="399" spans="1:1" x14ac:dyDescent="0.3">
      <c r="A399" s="11" t="s">
        <v>2158</v>
      </c>
    </row>
    <row r="400" spans="1:1" x14ac:dyDescent="0.3">
      <c r="A400" s="11" t="s">
        <v>4146</v>
      </c>
    </row>
    <row r="401" spans="1:1" x14ac:dyDescent="0.3">
      <c r="A401" s="11" t="s">
        <v>2113</v>
      </c>
    </row>
    <row r="402" spans="1:1" x14ac:dyDescent="0.3">
      <c r="A402" s="11" t="s">
        <v>5706</v>
      </c>
    </row>
    <row r="403" spans="1:1" x14ac:dyDescent="0.3">
      <c r="A403" s="11" t="s">
        <v>4765</v>
      </c>
    </row>
    <row r="404" spans="1:1" x14ac:dyDescent="0.3">
      <c r="A404" s="11" t="s">
        <v>4081</v>
      </c>
    </row>
    <row r="405" spans="1:1" x14ac:dyDescent="0.3">
      <c r="A405" s="11" t="s">
        <v>4384</v>
      </c>
    </row>
    <row r="406" spans="1:1" x14ac:dyDescent="0.3">
      <c r="A406" s="11" t="s">
        <v>1924</v>
      </c>
    </row>
    <row r="407" spans="1:1" x14ac:dyDescent="0.3">
      <c r="A407" s="11" t="s">
        <v>2770</v>
      </c>
    </row>
    <row r="408" spans="1:1" x14ac:dyDescent="0.3">
      <c r="A408" s="11" t="s">
        <v>4235</v>
      </c>
    </row>
    <row r="409" spans="1:1" x14ac:dyDescent="0.3">
      <c r="A409" s="11" t="s">
        <v>5677</v>
      </c>
    </row>
    <row r="410" spans="1:1" x14ac:dyDescent="0.3">
      <c r="A410" s="11" t="s">
        <v>5996</v>
      </c>
    </row>
    <row r="411" spans="1:1" x14ac:dyDescent="0.3">
      <c r="A411" s="11" t="s">
        <v>3261</v>
      </c>
    </row>
    <row r="412" spans="1:1" x14ac:dyDescent="0.3">
      <c r="A412" s="11" t="s">
        <v>4552</v>
      </c>
    </row>
    <row r="413" spans="1:1" x14ac:dyDescent="0.3">
      <c r="A413" s="11" t="s">
        <v>4956</v>
      </c>
    </row>
    <row r="414" spans="1:1" x14ac:dyDescent="0.3">
      <c r="A414" s="11" t="s">
        <v>5311</v>
      </c>
    </row>
    <row r="415" spans="1:1" x14ac:dyDescent="0.3">
      <c r="A415" s="11" t="s">
        <v>4332</v>
      </c>
    </row>
    <row r="416" spans="1:1" x14ac:dyDescent="0.3">
      <c r="A416" s="11" t="s">
        <v>2895</v>
      </c>
    </row>
    <row r="417" spans="1:1" x14ac:dyDescent="0.3">
      <c r="A417" s="11" t="s">
        <v>1223</v>
      </c>
    </row>
    <row r="418" spans="1:1" x14ac:dyDescent="0.3">
      <c r="A418" s="11" t="s">
        <v>2263</v>
      </c>
    </row>
    <row r="419" spans="1:1" x14ac:dyDescent="0.3">
      <c r="A419" s="11" t="s">
        <v>1159</v>
      </c>
    </row>
    <row r="420" spans="1:1" x14ac:dyDescent="0.3">
      <c r="A420" s="11" t="s">
        <v>1743</v>
      </c>
    </row>
    <row r="421" spans="1:1" x14ac:dyDescent="0.3">
      <c r="A421" s="11" t="s">
        <v>4564</v>
      </c>
    </row>
    <row r="422" spans="1:1" x14ac:dyDescent="0.3">
      <c r="A422" s="11" t="s">
        <v>1840</v>
      </c>
    </row>
    <row r="423" spans="1:1" x14ac:dyDescent="0.3">
      <c r="A423" s="11" t="s">
        <v>3243</v>
      </c>
    </row>
    <row r="424" spans="1:1" x14ac:dyDescent="0.3">
      <c r="A424" s="11" t="s">
        <v>2912</v>
      </c>
    </row>
    <row r="425" spans="1:1" x14ac:dyDescent="0.3">
      <c r="A425" s="11" t="s">
        <v>5289</v>
      </c>
    </row>
    <row r="426" spans="1:1" x14ac:dyDescent="0.3">
      <c r="A426" s="11" t="s">
        <v>2639</v>
      </c>
    </row>
    <row r="427" spans="1:1" x14ac:dyDescent="0.3">
      <c r="A427" s="11" t="s">
        <v>5968</v>
      </c>
    </row>
    <row r="428" spans="1:1" x14ac:dyDescent="0.3">
      <c r="A428" s="11" t="s">
        <v>5781</v>
      </c>
    </row>
    <row r="429" spans="1:1" x14ac:dyDescent="0.3">
      <c r="A429" s="11" t="s">
        <v>3533</v>
      </c>
    </row>
    <row r="430" spans="1:1" x14ac:dyDescent="0.3">
      <c r="A430" s="11" t="s">
        <v>2809</v>
      </c>
    </row>
    <row r="431" spans="1:1" x14ac:dyDescent="0.3">
      <c r="A431" s="11" t="s">
        <v>2616</v>
      </c>
    </row>
    <row r="432" spans="1:1" x14ac:dyDescent="0.3">
      <c r="A432" s="11" t="s">
        <v>1823</v>
      </c>
    </row>
    <row r="433" spans="1:1" x14ac:dyDescent="0.3">
      <c r="A433" s="11" t="s">
        <v>5013</v>
      </c>
    </row>
    <row r="434" spans="1:1" x14ac:dyDescent="0.3">
      <c r="A434" s="11" t="s">
        <v>2016</v>
      </c>
    </row>
    <row r="435" spans="1:1" x14ac:dyDescent="0.3">
      <c r="A435" s="11" t="s">
        <v>638</v>
      </c>
    </row>
    <row r="436" spans="1:1" x14ac:dyDescent="0.3">
      <c r="A436" s="11" t="s">
        <v>554</v>
      </c>
    </row>
    <row r="437" spans="1:1" x14ac:dyDescent="0.3">
      <c r="A437" s="11" t="s">
        <v>5241</v>
      </c>
    </row>
    <row r="438" spans="1:1" x14ac:dyDescent="0.3">
      <c r="A438" s="11" t="s">
        <v>3397</v>
      </c>
    </row>
    <row r="439" spans="1:1" x14ac:dyDescent="0.3">
      <c r="A439" s="11" t="s">
        <v>4309</v>
      </c>
    </row>
    <row r="440" spans="1:1" x14ac:dyDescent="0.3">
      <c r="A440" s="11" t="s">
        <v>1130</v>
      </c>
    </row>
    <row r="441" spans="1:1" x14ac:dyDescent="0.3">
      <c r="A441" s="11" t="s">
        <v>2124</v>
      </c>
    </row>
    <row r="442" spans="1:1" x14ac:dyDescent="0.3">
      <c r="A442" s="11" t="s">
        <v>5922</v>
      </c>
    </row>
    <row r="443" spans="1:1" x14ac:dyDescent="0.3">
      <c r="A443" s="11" t="s">
        <v>4626</v>
      </c>
    </row>
    <row r="444" spans="1:1" x14ac:dyDescent="0.3">
      <c r="A444" s="11" t="s">
        <v>712</v>
      </c>
    </row>
    <row r="445" spans="1:1" x14ac:dyDescent="0.3">
      <c r="A445" s="11" t="s">
        <v>3022</v>
      </c>
    </row>
    <row r="446" spans="1:1" x14ac:dyDescent="0.3">
      <c r="A446" s="11" t="s">
        <v>3107</v>
      </c>
    </row>
    <row r="447" spans="1:1" x14ac:dyDescent="0.3">
      <c r="A447" s="11" t="s">
        <v>644</v>
      </c>
    </row>
    <row r="448" spans="1:1" x14ac:dyDescent="0.3">
      <c r="A448" s="11" t="s">
        <v>3290</v>
      </c>
    </row>
    <row r="449" spans="1:1" x14ac:dyDescent="0.3">
      <c r="A449" s="11" t="s">
        <v>5136</v>
      </c>
    </row>
    <row r="450" spans="1:1" x14ac:dyDescent="0.3">
      <c r="A450" s="11" t="s">
        <v>2987</v>
      </c>
    </row>
    <row r="451" spans="1:1" x14ac:dyDescent="0.3">
      <c r="A451" s="11" t="s">
        <v>4586</v>
      </c>
    </row>
    <row r="452" spans="1:1" x14ac:dyDescent="0.3">
      <c r="A452" s="11" t="s">
        <v>5019</v>
      </c>
    </row>
    <row r="453" spans="1:1" x14ac:dyDescent="0.3">
      <c r="A453" s="11" t="s">
        <v>5508</v>
      </c>
    </row>
    <row r="454" spans="1:1" x14ac:dyDescent="0.3">
      <c r="A454" s="11" t="s">
        <v>6065</v>
      </c>
    </row>
    <row r="455" spans="1:1" x14ac:dyDescent="0.3">
      <c r="A455" s="11" t="s">
        <v>662</v>
      </c>
    </row>
    <row r="456" spans="1:1" x14ac:dyDescent="0.3">
      <c r="A456" s="11" t="s">
        <v>1460</v>
      </c>
    </row>
    <row r="457" spans="1:1" x14ac:dyDescent="0.3">
      <c r="A457" s="11" t="s">
        <v>2092</v>
      </c>
    </row>
    <row r="458" spans="1:1" x14ac:dyDescent="0.3">
      <c r="A458" s="11" t="s">
        <v>4944</v>
      </c>
    </row>
    <row r="459" spans="1:1" x14ac:dyDescent="0.3">
      <c r="A459" s="11" t="s">
        <v>5738</v>
      </c>
    </row>
    <row r="460" spans="1:1" x14ac:dyDescent="0.3">
      <c r="A460" s="11" t="s">
        <v>3845</v>
      </c>
    </row>
    <row r="461" spans="1:1" x14ac:dyDescent="0.3">
      <c r="A461" s="11" t="s">
        <v>5581</v>
      </c>
    </row>
    <row r="462" spans="1:1" x14ac:dyDescent="0.3">
      <c r="A462" s="11" t="s">
        <v>1414</v>
      </c>
    </row>
    <row r="463" spans="1:1" x14ac:dyDescent="0.3">
      <c r="A463" s="11" t="s">
        <v>5274</v>
      </c>
    </row>
    <row r="464" spans="1:1" x14ac:dyDescent="0.3">
      <c r="A464" s="11" t="s">
        <v>4152</v>
      </c>
    </row>
    <row r="465" spans="1:1" x14ac:dyDescent="0.3">
      <c r="A465" s="11" t="s">
        <v>5031</v>
      </c>
    </row>
    <row r="466" spans="1:1" x14ac:dyDescent="0.3">
      <c r="A466" s="11" t="s">
        <v>4192</v>
      </c>
    </row>
    <row r="467" spans="1:1" x14ac:dyDescent="0.3">
      <c r="A467" s="11" t="s">
        <v>5792</v>
      </c>
    </row>
    <row r="468" spans="1:1" x14ac:dyDescent="0.3">
      <c r="A468" s="11" t="s">
        <v>4378</v>
      </c>
    </row>
    <row r="469" spans="1:1" x14ac:dyDescent="0.3">
      <c r="A469" s="11" t="s">
        <v>2108</v>
      </c>
    </row>
    <row r="470" spans="1:1" x14ac:dyDescent="0.3">
      <c r="A470" s="11" t="s">
        <v>2268</v>
      </c>
    </row>
    <row r="471" spans="1:1" x14ac:dyDescent="0.3">
      <c r="A471" s="11" t="s">
        <v>1981</v>
      </c>
    </row>
    <row r="472" spans="1:1" x14ac:dyDescent="0.3">
      <c r="A472" s="11" t="s">
        <v>4304</v>
      </c>
    </row>
    <row r="473" spans="1:1" x14ac:dyDescent="0.3">
      <c r="A473" s="11" t="s">
        <v>3409</v>
      </c>
    </row>
    <row r="474" spans="1:1" x14ac:dyDescent="0.3">
      <c r="A474" s="11" t="s">
        <v>2924</v>
      </c>
    </row>
    <row r="475" spans="1:1" x14ac:dyDescent="0.3">
      <c r="A475" s="11" t="s">
        <v>3470</v>
      </c>
    </row>
    <row r="476" spans="1:1" x14ac:dyDescent="0.3">
      <c r="A476" s="11" t="s">
        <v>5758</v>
      </c>
    </row>
    <row r="477" spans="1:1" x14ac:dyDescent="0.3">
      <c r="A477" s="11" t="s">
        <v>1993</v>
      </c>
    </row>
    <row r="478" spans="1:1" x14ac:dyDescent="0.3">
      <c r="A478" s="11" t="s">
        <v>5130</v>
      </c>
    </row>
    <row r="479" spans="1:1" x14ac:dyDescent="0.3">
      <c r="A479" s="11" t="s">
        <v>2075</v>
      </c>
    </row>
    <row r="480" spans="1:1" x14ac:dyDescent="0.3">
      <c r="A480" s="11" t="s">
        <v>3861</v>
      </c>
    </row>
    <row r="481" spans="1:1" x14ac:dyDescent="0.3">
      <c r="A481" s="11" t="s">
        <v>2830</v>
      </c>
    </row>
    <row r="482" spans="1:1" x14ac:dyDescent="0.3">
      <c r="A482" s="11" t="s">
        <v>5142</v>
      </c>
    </row>
    <row r="483" spans="1:1" x14ac:dyDescent="0.3">
      <c r="A483" s="11" t="s">
        <v>5392</v>
      </c>
    </row>
    <row r="484" spans="1:1" x14ac:dyDescent="0.3">
      <c r="A484" s="11" t="s">
        <v>3819</v>
      </c>
    </row>
    <row r="485" spans="1:1" x14ac:dyDescent="0.3">
      <c r="A485" s="11" t="s">
        <v>2286</v>
      </c>
    </row>
    <row r="486" spans="1:1" x14ac:dyDescent="0.3">
      <c r="A486" s="11" t="s">
        <v>1666</v>
      </c>
    </row>
    <row r="487" spans="1:1" x14ac:dyDescent="0.3">
      <c r="A487" s="11" t="s">
        <v>4712</v>
      </c>
    </row>
    <row r="488" spans="1:1" x14ac:dyDescent="0.3">
      <c r="A488" s="11" t="s">
        <v>3284</v>
      </c>
    </row>
    <row r="489" spans="1:1" x14ac:dyDescent="0.3">
      <c r="A489" s="11" t="s">
        <v>745</v>
      </c>
    </row>
    <row r="490" spans="1:1" x14ac:dyDescent="0.3">
      <c r="A490" s="11" t="s">
        <v>5496</v>
      </c>
    </row>
    <row r="491" spans="1:1" x14ac:dyDescent="0.3">
      <c r="A491" s="11" t="s">
        <v>5188</v>
      </c>
    </row>
    <row r="492" spans="1:1" x14ac:dyDescent="0.3">
      <c r="A492" s="11" t="s">
        <v>937</v>
      </c>
    </row>
    <row r="493" spans="1:1" x14ac:dyDescent="0.3">
      <c r="A493" s="11" t="s">
        <v>1205</v>
      </c>
    </row>
    <row r="494" spans="1:1" x14ac:dyDescent="0.3">
      <c r="A494" s="11" t="s">
        <v>1521</v>
      </c>
    </row>
    <row r="495" spans="1:1" x14ac:dyDescent="0.3">
      <c r="A495" s="11" t="s">
        <v>2889</v>
      </c>
    </row>
    <row r="496" spans="1:1" x14ac:dyDescent="0.3">
      <c r="A496" s="11" t="s">
        <v>4695</v>
      </c>
    </row>
    <row r="497" spans="1:1" x14ac:dyDescent="0.3">
      <c r="A497" s="11" t="s">
        <v>6036</v>
      </c>
    </row>
    <row r="498" spans="1:1" x14ac:dyDescent="0.3">
      <c r="A498" s="11" t="s">
        <v>5956</v>
      </c>
    </row>
    <row r="499" spans="1:1" x14ac:dyDescent="0.3">
      <c r="A499" s="11" t="s">
        <v>3344</v>
      </c>
    </row>
    <row r="500" spans="1:1" x14ac:dyDescent="0.3">
      <c r="A500" s="11" t="s">
        <v>4140</v>
      </c>
    </row>
    <row r="501" spans="1:1" x14ac:dyDescent="0.3">
      <c r="A501" s="11" t="s">
        <v>4275</v>
      </c>
    </row>
    <row r="502" spans="1:1" x14ac:dyDescent="0.3">
      <c r="A502" s="11" t="s">
        <v>1084</v>
      </c>
    </row>
    <row r="503" spans="1:1" x14ac:dyDescent="0.3">
      <c r="A503" s="11" t="s">
        <v>4638</v>
      </c>
    </row>
    <row r="504" spans="1:1" x14ac:dyDescent="0.3">
      <c r="A504" s="11" t="s">
        <v>2684</v>
      </c>
    </row>
    <row r="505" spans="1:1" x14ac:dyDescent="0.3">
      <c r="A505" s="11" t="s">
        <v>5673</v>
      </c>
    </row>
    <row r="506" spans="1:1" x14ac:dyDescent="0.3">
      <c r="A506" s="11" t="s">
        <v>1396</v>
      </c>
    </row>
    <row r="507" spans="1:1" x14ac:dyDescent="0.3">
      <c r="A507" s="11" t="s">
        <v>4793</v>
      </c>
    </row>
    <row r="508" spans="1:1" x14ac:dyDescent="0.3">
      <c r="A508" s="11" t="s">
        <v>4218</v>
      </c>
    </row>
    <row r="509" spans="1:1" x14ac:dyDescent="0.3">
      <c r="A509" s="11" t="s">
        <v>4882</v>
      </c>
    </row>
    <row r="510" spans="1:1" x14ac:dyDescent="0.3">
      <c r="A510" s="11" t="s">
        <v>1772</v>
      </c>
    </row>
    <row r="511" spans="1:1" x14ac:dyDescent="0.3">
      <c r="A511" s="11" t="s">
        <v>2098</v>
      </c>
    </row>
    <row r="512" spans="1:1" x14ac:dyDescent="0.3">
      <c r="A512" s="11" t="s">
        <v>4597</v>
      </c>
    </row>
    <row r="513" spans="1:1" x14ac:dyDescent="0.3">
      <c r="A513" s="11" t="s">
        <v>1351</v>
      </c>
    </row>
    <row r="514" spans="1:1" x14ac:dyDescent="0.3">
      <c r="A514" s="11" t="s">
        <v>5985</v>
      </c>
    </row>
    <row r="515" spans="1:1" x14ac:dyDescent="0.3">
      <c r="A515" s="11" t="s">
        <v>2069</v>
      </c>
    </row>
    <row r="516" spans="1:1" x14ac:dyDescent="0.3">
      <c r="A516" s="11" t="s">
        <v>594</v>
      </c>
    </row>
    <row r="517" spans="1:1" x14ac:dyDescent="0.3">
      <c r="A517" s="11" t="s">
        <v>5554</v>
      </c>
    </row>
    <row r="518" spans="1:1" x14ac:dyDescent="0.3">
      <c r="A518" s="11" t="s">
        <v>3578</v>
      </c>
    </row>
    <row r="519" spans="1:1" x14ac:dyDescent="0.3">
      <c r="A519" s="11" t="s">
        <v>4632</v>
      </c>
    </row>
    <row r="520" spans="1:1" x14ac:dyDescent="0.3">
      <c r="A520" s="11" t="s">
        <v>3684</v>
      </c>
    </row>
    <row r="521" spans="1:1" x14ac:dyDescent="0.3">
      <c r="A521" s="11" t="s">
        <v>4500</v>
      </c>
    </row>
    <row r="522" spans="1:1" x14ac:dyDescent="0.3">
      <c r="A522" s="11" t="s">
        <v>2257</v>
      </c>
    </row>
    <row r="523" spans="1:1" x14ac:dyDescent="0.3">
      <c r="A523" s="11" t="s">
        <v>5650</v>
      </c>
    </row>
    <row r="524" spans="1:1" x14ac:dyDescent="0.3">
      <c r="A524" s="11" t="s">
        <v>976</v>
      </c>
    </row>
    <row r="525" spans="1:1" x14ac:dyDescent="0.3">
      <c r="A525" s="11" t="s">
        <v>828</v>
      </c>
    </row>
    <row r="526" spans="1:1" x14ac:dyDescent="0.3">
      <c r="A526" s="11" t="s">
        <v>2138</v>
      </c>
    </row>
    <row r="527" spans="1:1" x14ac:dyDescent="0.3">
      <c r="A527" s="11" t="s">
        <v>3209</v>
      </c>
    </row>
    <row r="528" spans="1:1" x14ac:dyDescent="0.3">
      <c r="A528" s="11" t="s">
        <v>2969</v>
      </c>
    </row>
    <row r="529" spans="1:1" x14ac:dyDescent="0.3">
      <c r="A529" s="11" t="s">
        <v>1941</v>
      </c>
    </row>
    <row r="530" spans="1:1" x14ac:dyDescent="0.3">
      <c r="A530" s="11" t="s">
        <v>2604</v>
      </c>
    </row>
    <row r="531" spans="1:1" x14ac:dyDescent="0.3">
      <c r="A531" s="11" t="s">
        <v>3735</v>
      </c>
    </row>
    <row r="532" spans="1:1" x14ac:dyDescent="0.3">
      <c r="A532" s="11" t="s">
        <v>2560</v>
      </c>
    </row>
    <row r="533" spans="1:1" x14ac:dyDescent="0.3">
      <c r="A533" s="11" t="s">
        <v>3649</v>
      </c>
    </row>
    <row r="534" spans="1:1" x14ac:dyDescent="0.3">
      <c r="A534" s="11" t="s">
        <v>2539</v>
      </c>
    </row>
    <row r="535" spans="1:1" x14ac:dyDescent="0.3">
      <c r="A535" s="11" t="s">
        <v>1426</v>
      </c>
    </row>
    <row r="536" spans="1:1" x14ac:dyDescent="0.3">
      <c r="A536" s="11" t="s">
        <v>2580</v>
      </c>
    </row>
    <row r="537" spans="1:1" x14ac:dyDescent="0.3">
      <c r="A537" s="11" t="s">
        <v>1368</v>
      </c>
    </row>
    <row r="538" spans="1:1" x14ac:dyDescent="0.3">
      <c r="A538" s="11" t="s">
        <v>2717</v>
      </c>
    </row>
    <row r="539" spans="1:1" x14ac:dyDescent="0.3">
      <c r="A539" s="11" t="s">
        <v>5279</v>
      </c>
    </row>
    <row r="540" spans="1:1" x14ac:dyDescent="0.3">
      <c r="A540" s="11" t="s">
        <v>2170</v>
      </c>
    </row>
    <row r="541" spans="1:1" x14ac:dyDescent="0.3">
      <c r="A541" s="11" t="s">
        <v>5177</v>
      </c>
    </row>
    <row r="542" spans="1:1" x14ac:dyDescent="0.3">
      <c r="A542" s="11" t="s">
        <v>3016</v>
      </c>
    </row>
    <row r="543" spans="1:1" x14ac:dyDescent="0.3">
      <c r="A543" s="11" t="s">
        <v>4570</v>
      </c>
    </row>
    <row r="544" spans="1:1" x14ac:dyDescent="0.3">
      <c r="A544" s="11" t="s">
        <v>3295</v>
      </c>
    </row>
    <row r="545" spans="1:1" x14ac:dyDescent="0.3">
      <c r="A545" s="11" t="s">
        <v>4087</v>
      </c>
    </row>
    <row r="546" spans="1:1" x14ac:dyDescent="0.3">
      <c r="A546" s="11" t="s">
        <v>1306</v>
      </c>
    </row>
    <row r="547" spans="1:1" x14ac:dyDescent="0.3">
      <c r="A547" s="11" t="s">
        <v>3028</v>
      </c>
    </row>
    <row r="548" spans="1:1" x14ac:dyDescent="0.3">
      <c r="A548" s="11" t="s">
        <v>2570</v>
      </c>
    </row>
    <row r="549" spans="1:1" x14ac:dyDescent="0.3">
      <c r="A549" s="11" t="s">
        <v>2700</v>
      </c>
    </row>
    <row r="550" spans="1:1" x14ac:dyDescent="0.3">
      <c r="A550" s="11" t="s">
        <v>542</v>
      </c>
    </row>
    <row r="551" spans="1:1" x14ac:dyDescent="0.3">
      <c r="A551" s="11" t="s">
        <v>4962</v>
      </c>
    </row>
    <row r="552" spans="1:1" x14ac:dyDescent="0.3">
      <c r="A552" s="11" t="s">
        <v>2728</v>
      </c>
    </row>
    <row r="553" spans="1:1" x14ac:dyDescent="0.3">
      <c r="A553" s="11" t="s">
        <v>4349</v>
      </c>
    </row>
    <row r="554" spans="1:1" x14ac:dyDescent="0.3">
      <c r="A554" s="11" t="s">
        <v>4457</v>
      </c>
    </row>
    <row r="555" spans="1:1" x14ac:dyDescent="0.3">
      <c r="A555" s="11" t="s">
        <v>1175</v>
      </c>
    </row>
    <row r="556" spans="1:1" x14ac:dyDescent="0.3">
      <c r="A556" s="11" t="s">
        <v>2574</v>
      </c>
    </row>
    <row r="557" spans="1:1" x14ac:dyDescent="0.3">
      <c r="A557" s="11" t="s">
        <v>3655</v>
      </c>
    </row>
    <row r="558" spans="1:1" x14ac:dyDescent="0.3">
      <c r="A558" s="11" t="s">
        <v>1153</v>
      </c>
    </row>
    <row r="559" spans="1:1" x14ac:dyDescent="0.3">
      <c r="A559" s="11" t="s">
        <v>588</v>
      </c>
    </row>
    <row r="560" spans="1:1" x14ac:dyDescent="0.3">
      <c r="A560" s="11" t="s">
        <v>3089</v>
      </c>
    </row>
    <row r="561" spans="1:1" x14ac:dyDescent="0.3">
      <c r="A561" s="11" t="s">
        <v>3851</v>
      </c>
    </row>
    <row r="562" spans="1:1" x14ac:dyDescent="0.3">
      <c r="A562" s="11" t="s">
        <v>6118</v>
      </c>
    </row>
    <row r="563" spans="1:1" x14ac:dyDescent="0.3">
      <c r="A563" s="11" t="s">
        <v>2228</v>
      </c>
    </row>
    <row r="564" spans="1:1" x14ac:dyDescent="0.3">
      <c r="A564" s="11" t="s">
        <v>1431</v>
      </c>
    </row>
    <row r="565" spans="1:1" x14ac:dyDescent="0.3">
      <c r="A565" s="11" t="s">
        <v>2386</v>
      </c>
    </row>
    <row r="566" spans="1:1" x14ac:dyDescent="0.3">
      <c r="A566" s="11" t="s">
        <v>5403</v>
      </c>
    </row>
    <row r="567" spans="1:1" x14ac:dyDescent="0.3">
      <c r="A567" s="11" t="s">
        <v>2143</v>
      </c>
    </row>
    <row r="568" spans="1:1" x14ac:dyDescent="0.3">
      <c r="A568" s="11" t="s">
        <v>2176</v>
      </c>
    </row>
    <row r="569" spans="1:1" x14ac:dyDescent="0.3">
      <c r="A569" s="11" t="s">
        <v>931</v>
      </c>
    </row>
    <row r="570" spans="1:1" x14ac:dyDescent="0.3">
      <c r="A570" s="11" t="s">
        <v>5009</v>
      </c>
    </row>
    <row r="571" spans="1:1" x14ac:dyDescent="0.3">
      <c r="A571" s="11" t="s">
        <v>4974</v>
      </c>
    </row>
    <row r="572" spans="1:1" x14ac:dyDescent="0.3">
      <c r="A572" s="11" t="s">
        <v>5817</v>
      </c>
    </row>
    <row r="573" spans="1:1" x14ac:dyDescent="0.3">
      <c r="A573" s="11" t="s">
        <v>4337</v>
      </c>
    </row>
    <row r="574" spans="1:1" x14ac:dyDescent="0.3">
      <c r="A574" s="11" t="s">
        <v>1124</v>
      </c>
    </row>
    <row r="575" spans="1:1" x14ac:dyDescent="0.3">
      <c r="A575" s="11" t="s">
        <v>2314</v>
      </c>
    </row>
    <row r="576" spans="1:1" x14ac:dyDescent="0.3">
      <c r="A576" s="11" t="s">
        <v>1033</v>
      </c>
    </row>
    <row r="577" spans="1:1" x14ac:dyDescent="0.3">
      <c r="A577" s="11" t="s">
        <v>2342</v>
      </c>
    </row>
    <row r="578" spans="1:1" x14ac:dyDescent="0.3">
      <c r="A578" s="11" t="s">
        <v>2510</v>
      </c>
    </row>
    <row r="579" spans="1:1" x14ac:dyDescent="0.3">
      <c r="A579" s="11" t="s">
        <v>3374</v>
      </c>
    </row>
    <row r="580" spans="1:1" x14ac:dyDescent="0.3">
      <c r="A580" s="11" t="s">
        <v>3696</v>
      </c>
    </row>
    <row r="581" spans="1:1" x14ac:dyDescent="0.3">
      <c r="A581" s="11" t="s">
        <v>2533</v>
      </c>
    </row>
    <row r="582" spans="1:1" x14ac:dyDescent="0.3">
      <c r="A582" s="11" t="s">
        <v>4175</v>
      </c>
    </row>
    <row r="583" spans="1:1" x14ac:dyDescent="0.3">
      <c r="A583" s="11" t="s">
        <v>2134</v>
      </c>
    </row>
    <row r="584" spans="1:1" x14ac:dyDescent="0.3">
      <c r="A584" s="11" t="s">
        <v>1591</v>
      </c>
    </row>
    <row r="585" spans="1:1" x14ac:dyDescent="0.3">
      <c r="A585" s="11" t="s">
        <v>4609</v>
      </c>
    </row>
    <row r="586" spans="1:1" x14ac:dyDescent="0.3">
      <c r="A586" s="11" t="s">
        <v>3554</v>
      </c>
    </row>
    <row r="587" spans="1:1" x14ac:dyDescent="0.3">
      <c r="A587" s="11" t="s">
        <v>4110</v>
      </c>
    </row>
    <row r="588" spans="1:1" x14ac:dyDescent="0.3">
      <c r="A588" s="11" t="s">
        <v>6128</v>
      </c>
    </row>
    <row r="589" spans="1:1" x14ac:dyDescent="0.3">
      <c r="A589" s="11" t="s">
        <v>4513</v>
      </c>
    </row>
    <row r="590" spans="1:1" x14ac:dyDescent="0.3">
      <c r="A590" s="11" t="s">
        <v>525</v>
      </c>
    </row>
    <row r="591" spans="1:1" x14ac:dyDescent="0.3">
      <c r="A591" s="11" t="s">
        <v>839</v>
      </c>
    </row>
    <row r="592" spans="1:1" x14ac:dyDescent="0.3">
      <c r="A592" s="11" t="s">
        <v>5526</v>
      </c>
    </row>
    <row r="593" spans="1:1" x14ac:dyDescent="0.3">
      <c r="A593" s="11" t="s">
        <v>5397</v>
      </c>
    </row>
    <row r="594" spans="1:1" x14ac:dyDescent="0.3">
      <c r="A594" s="11" t="s">
        <v>1545</v>
      </c>
    </row>
    <row r="595" spans="1:1" x14ac:dyDescent="0.3">
      <c r="A595" s="11" t="s">
        <v>6054</v>
      </c>
    </row>
    <row r="596" spans="1:1" x14ac:dyDescent="0.3">
      <c r="A596" s="11" t="s">
        <v>3448</v>
      </c>
    </row>
    <row r="597" spans="1:1" x14ac:dyDescent="0.3">
      <c r="A597" s="11" t="s">
        <v>3867</v>
      </c>
    </row>
    <row r="598" spans="1:1" x14ac:dyDescent="0.3">
      <c r="A598" s="11" t="s">
        <v>2103</v>
      </c>
    </row>
    <row r="599" spans="1:1" x14ac:dyDescent="0.3">
      <c r="A599" s="11" t="s">
        <v>3368</v>
      </c>
    </row>
    <row r="600" spans="1:1" x14ac:dyDescent="0.3">
      <c r="A600" s="11" t="s">
        <v>1135</v>
      </c>
    </row>
    <row r="601" spans="1:1" x14ac:dyDescent="0.3">
      <c r="A601" s="11" t="s">
        <v>4804</v>
      </c>
    </row>
    <row r="602" spans="1:1" x14ac:dyDescent="0.3">
      <c r="A602" s="11" t="s">
        <v>4472</v>
      </c>
    </row>
    <row r="603" spans="1:1" x14ac:dyDescent="0.3">
      <c r="A603" s="11" t="s">
        <v>1622</v>
      </c>
    </row>
    <row r="604" spans="1:1" x14ac:dyDescent="0.3">
      <c r="A604" s="11" t="s">
        <v>1504</v>
      </c>
    </row>
    <row r="605" spans="1:1" x14ac:dyDescent="0.3">
      <c r="A605" s="11" t="s">
        <v>3506</v>
      </c>
    </row>
    <row r="606" spans="1:1" x14ac:dyDescent="0.3">
      <c r="A606" s="11" t="s">
        <v>1585</v>
      </c>
    </row>
    <row r="607" spans="1:1" x14ac:dyDescent="0.3">
      <c r="A607" s="11" t="s">
        <v>2128</v>
      </c>
    </row>
    <row r="608" spans="1:1" x14ac:dyDescent="0.3">
      <c r="A608" s="11" t="s">
        <v>3054</v>
      </c>
    </row>
    <row r="609" spans="1:1" x14ac:dyDescent="0.3">
      <c r="A609" s="11" t="s">
        <v>4854</v>
      </c>
    </row>
    <row r="610" spans="1:1" x14ac:dyDescent="0.3">
      <c r="A610" s="11" t="s">
        <v>3319</v>
      </c>
    </row>
    <row r="611" spans="1:1" x14ac:dyDescent="0.3">
      <c r="A611" s="11" t="s">
        <v>2867</v>
      </c>
    </row>
    <row r="612" spans="1:1" x14ac:dyDescent="0.3">
      <c r="A612" s="11" t="s">
        <v>4523</v>
      </c>
    </row>
    <row r="613" spans="1:1" x14ac:dyDescent="0.3">
      <c r="A613" s="11" t="s">
        <v>3528</v>
      </c>
    </row>
    <row r="614" spans="1:1" x14ac:dyDescent="0.3">
      <c r="A614" s="11" t="s">
        <v>5598</v>
      </c>
    </row>
    <row r="615" spans="1:1" x14ac:dyDescent="0.3">
      <c r="A615" s="11" t="s">
        <v>5502</v>
      </c>
    </row>
    <row r="616" spans="1:1" x14ac:dyDescent="0.3">
      <c r="A616" s="11" t="s">
        <v>5661</v>
      </c>
    </row>
    <row r="617" spans="1:1" x14ac:dyDescent="0.3">
      <c r="A617" s="11" t="s">
        <v>3000</v>
      </c>
    </row>
    <row r="618" spans="1:1" x14ac:dyDescent="0.3">
      <c r="A618" s="11" t="s">
        <v>1262</v>
      </c>
    </row>
    <row r="619" spans="1:1" x14ac:dyDescent="0.3">
      <c r="A619" s="11" t="s">
        <v>5284</v>
      </c>
    </row>
    <row r="620" spans="1:1" x14ac:dyDescent="0.3">
      <c r="A620" s="11" t="s">
        <v>1284</v>
      </c>
    </row>
    <row r="621" spans="1:1" x14ac:dyDescent="0.3">
      <c r="A621" s="11" t="s">
        <v>3042</v>
      </c>
    </row>
    <row r="622" spans="1:1" x14ac:dyDescent="0.3">
      <c r="A622" s="11" t="s">
        <v>5823</v>
      </c>
    </row>
    <row r="623" spans="1:1" x14ac:dyDescent="0.3">
      <c r="A623" s="11" t="s">
        <v>2661</v>
      </c>
    </row>
    <row r="624" spans="1:1" x14ac:dyDescent="0.3">
      <c r="A624" s="11" t="s">
        <v>986</v>
      </c>
    </row>
    <row r="625" spans="1:1" x14ac:dyDescent="0.3">
      <c r="A625" s="11" t="s">
        <v>3231</v>
      </c>
    </row>
    <row r="626" spans="1:1" x14ac:dyDescent="0.3">
      <c r="A626" s="11" t="s">
        <v>1290</v>
      </c>
    </row>
    <row r="627" spans="1:1" x14ac:dyDescent="0.3">
      <c r="A627" s="11" t="s">
        <v>5334</v>
      </c>
    </row>
    <row r="628" spans="1:1" x14ac:dyDescent="0.3">
      <c r="A628" s="11" t="s">
        <v>5667</v>
      </c>
    </row>
    <row r="629" spans="1:1" x14ac:dyDescent="0.3">
      <c r="A629" s="11" t="s">
        <v>5862</v>
      </c>
    </row>
    <row r="630" spans="1:1" x14ac:dyDescent="0.3">
      <c r="A630" s="11" t="s">
        <v>5939</v>
      </c>
    </row>
    <row r="631" spans="1:1" x14ac:dyDescent="0.3">
      <c r="A631" s="11" t="s">
        <v>4748</v>
      </c>
    </row>
    <row r="632" spans="1:1" x14ac:dyDescent="0.3">
      <c r="A632" s="11" t="s">
        <v>4529</v>
      </c>
    </row>
    <row r="633" spans="1:1" x14ac:dyDescent="0.3">
      <c r="A633" s="11" t="s">
        <v>5810</v>
      </c>
    </row>
    <row r="634" spans="1:1" x14ac:dyDescent="0.3">
      <c r="A634" s="11" t="s">
        <v>2656</v>
      </c>
    </row>
    <row r="635" spans="1:1" x14ac:dyDescent="0.3">
      <c r="A635" s="11" t="s">
        <v>2358</v>
      </c>
    </row>
    <row r="636" spans="1:1" x14ac:dyDescent="0.3">
      <c r="A636" s="11" t="s">
        <v>892</v>
      </c>
    </row>
    <row r="637" spans="1:1" x14ac:dyDescent="0.3">
      <c r="A637" s="11" t="s">
        <v>3928</v>
      </c>
    </row>
    <row r="638" spans="1:1" x14ac:dyDescent="0.3">
      <c r="A638" s="11" t="s">
        <v>1683</v>
      </c>
    </row>
    <row r="639" spans="1:1" x14ac:dyDescent="0.3">
      <c r="A639" s="11" t="s">
        <v>844</v>
      </c>
    </row>
    <row r="640" spans="1:1" x14ac:dyDescent="0.3">
      <c r="A640" s="11" t="s">
        <v>886</v>
      </c>
    </row>
    <row r="641" spans="1:1" x14ac:dyDescent="0.3">
      <c r="A641" s="11" t="s">
        <v>3884</v>
      </c>
    </row>
    <row r="642" spans="1:1" x14ac:dyDescent="0.3">
      <c r="A642" s="11" t="s">
        <v>3713</v>
      </c>
    </row>
    <row r="643" spans="1:1" x14ac:dyDescent="0.3">
      <c r="A643" s="11" t="s">
        <v>2216</v>
      </c>
    </row>
    <row r="644" spans="1:1" x14ac:dyDescent="0.3">
      <c r="A644" s="11" t="s">
        <v>2425</v>
      </c>
    </row>
    <row r="645" spans="1:1" x14ac:dyDescent="0.3">
      <c r="A645" s="11" t="s">
        <v>6097</v>
      </c>
    </row>
    <row r="646" spans="1:1" x14ac:dyDescent="0.3">
      <c r="A646" s="11" t="s">
        <v>2963</v>
      </c>
    </row>
    <row r="647" spans="1:1" x14ac:dyDescent="0.3">
      <c r="A647" s="11" t="s">
        <v>5148</v>
      </c>
    </row>
    <row r="648" spans="1:1" x14ac:dyDescent="0.3">
      <c r="A648" s="11" t="s">
        <v>3403</v>
      </c>
    </row>
    <row r="649" spans="1:1" x14ac:dyDescent="0.3">
      <c r="A649" s="11" t="s">
        <v>4495</v>
      </c>
    </row>
    <row r="650" spans="1:1" x14ac:dyDescent="0.3">
      <c r="A650" s="11" t="s">
        <v>4030</v>
      </c>
    </row>
    <row r="651" spans="1:1" x14ac:dyDescent="0.3">
      <c r="A651" s="11" t="s">
        <v>3005</v>
      </c>
    </row>
    <row r="652" spans="1:1" x14ac:dyDescent="0.3">
      <c r="A652" s="11" t="s">
        <v>4170</v>
      </c>
    </row>
    <row r="653" spans="1:1" x14ac:dyDescent="0.3">
      <c r="A653" s="11" t="s">
        <v>3125</v>
      </c>
    </row>
    <row r="654" spans="1:1" x14ac:dyDescent="0.3">
      <c r="A654" s="11" t="s">
        <v>4164</v>
      </c>
    </row>
    <row r="655" spans="1:1" x14ac:dyDescent="0.3">
      <c r="A655" s="11" t="s">
        <v>3113</v>
      </c>
    </row>
    <row r="656" spans="1:1" x14ac:dyDescent="0.3">
      <c r="A656" s="11" t="s">
        <v>3678</v>
      </c>
    </row>
    <row r="657" spans="1:1" x14ac:dyDescent="0.3">
      <c r="A657" s="11" t="s">
        <v>3048</v>
      </c>
    </row>
    <row r="658" spans="1:1" x14ac:dyDescent="0.3">
      <c r="A658" s="11" t="s">
        <v>2825</v>
      </c>
    </row>
    <row r="659" spans="1:1" x14ac:dyDescent="0.3">
      <c r="A659" s="11" t="s">
        <v>1385</v>
      </c>
    </row>
    <row r="660" spans="1:1" x14ac:dyDescent="0.3">
      <c r="A660" s="11" t="s">
        <v>4326</v>
      </c>
    </row>
    <row r="661" spans="1:1" x14ac:dyDescent="0.3">
      <c r="A661" s="11" t="s">
        <v>1726</v>
      </c>
    </row>
    <row r="662" spans="1:1" x14ac:dyDescent="0.3">
      <c r="A662" s="11" t="s">
        <v>4927</v>
      </c>
    </row>
    <row r="663" spans="1:1" x14ac:dyDescent="0.3">
      <c r="A663" s="11" t="s">
        <v>5194</v>
      </c>
    </row>
    <row r="664" spans="1:1" x14ac:dyDescent="0.3">
      <c r="A664" s="11" t="s">
        <v>3517</v>
      </c>
    </row>
    <row r="665" spans="1:1" x14ac:dyDescent="0.3">
      <c r="A665" s="11" t="s">
        <v>727</v>
      </c>
    </row>
    <row r="666" spans="1:1" x14ac:dyDescent="0.3">
      <c r="A666" s="11" t="s">
        <v>3560</v>
      </c>
    </row>
    <row r="667" spans="1:1" x14ac:dyDescent="0.3">
      <c r="A667" s="11" t="s">
        <v>3267</v>
      </c>
    </row>
    <row r="668" spans="1:1" x14ac:dyDescent="0.3">
      <c r="A668" s="11" t="s">
        <v>1380</v>
      </c>
    </row>
    <row r="669" spans="1:1" x14ac:dyDescent="0.3">
      <c r="A669" s="11" t="s">
        <v>3588</v>
      </c>
    </row>
    <row r="670" spans="1:1" x14ac:dyDescent="0.3">
      <c r="A670" s="11" t="s">
        <v>2793</v>
      </c>
    </row>
    <row r="671" spans="1:1" x14ac:dyDescent="0.3">
      <c r="A671" s="11" t="s">
        <v>3549</v>
      </c>
    </row>
    <row r="672" spans="1:1" x14ac:dyDescent="0.3">
      <c r="A672" s="11" t="s">
        <v>4003</v>
      </c>
    </row>
    <row r="673" spans="1:1" x14ac:dyDescent="0.3">
      <c r="A673" s="11" t="s">
        <v>1193</v>
      </c>
    </row>
    <row r="674" spans="1:1" x14ac:dyDescent="0.3">
      <c r="A674" s="11" t="s">
        <v>2245</v>
      </c>
    </row>
    <row r="675" spans="1:1" x14ac:dyDescent="0.3">
      <c r="A675" s="11" t="s">
        <v>2592</v>
      </c>
    </row>
    <row r="676" spans="1:1" x14ac:dyDescent="0.3">
      <c r="A676" s="11" t="s">
        <v>4069</v>
      </c>
    </row>
    <row r="677" spans="1:1" x14ac:dyDescent="0.3">
      <c r="A677" s="11" t="s">
        <v>5627</v>
      </c>
    </row>
    <row r="678" spans="1:1" x14ac:dyDescent="0.3">
      <c r="A678" s="11" t="s">
        <v>5269</v>
      </c>
    </row>
    <row r="679" spans="1:1" x14ac:dyDescent="0.3">
      <c r="A679" s="11" t="s">
        <v>3813</v>
      </c>
    </row>
    <row r="680" spans="1:1" x14ac:dyDescent="0.3">
      <c r="A680" s="11" t="s">
        <v>5085</v>
      </c>
    </row>
    <row r="681" spans="1:1" x14ac:dyDescent="0.3">
      <c r="A681" s="11" t="s">
        <v>4446</v>
      </c>
    </row>
    <row r="682" spans="1:1" x14ac:dyDescent="0.3">
      <c r="A682" s="11" t="s">
        <v>2758</v>
      </c>
    </row>
    <row r="683" spans="1:1" x14ac:dyDescent="0.3">
      <c r="A683" s="11" t="s">
        <v>4922</v>
      </c>
    </row>
    <row r="684" spans="1:1" x14ac:dyDescent="0.3">
      <c r="A684" s="11" t="s">
        <v>1356</v>
      </c>
    </row>
    <row r="685" spans="1:1" x14ac:dyDescent="0.3">
      <c r="A685" s="11" t="s">
        <v>1499</v>
      </c>
    </row>
    <row r="686" spans="1:1" x14ac:dyDescent="0.3">
      <c r="A686" s="11" t="s">
        <v>898</v>
      </c>
    </row>
    <row r="687" spans="1:1" x14ac:dyDescent="0.3">
      <c r="A687" s="11" t="s">
        <v>5559</v>
      </c>
    </row>
    <row r="688" spans="1:1" x14ac:dyDescent="0.3">
      <c r="A688" s="11" t="s">
        <v>3612</v>
      </c>
    </row>
    <row r="689" spans="1:1" x14ac:dyDescent="0.3">
      <c r="A689" s="11" t="s">
        <v>5850</v>
      </c>
    </row>
    <row r="690" spans="1:1" x14ac:dyDescent="0.3">
      <c r="A690" s="11" t="s">
        <v>548</v>
      </c>
    </row>
    <row r="691" spans="1:1" x14ac:dyDescent="0.3">
      <c r="A691" s="11" t="s">
        <v>2952</v>
      </c>
    </row>
    <row r="692" spans="1:1" x14ac:dyDescent="0.3">
      <c r="A692" s="11" t="s">
        <v>1574</v>
      </c>
    </row>
    <row r="693" spans="1:1" x14ac:dyDescent="0.3">
      <c r="A693" s="11" t="s">
        <v>4782</v>
      </c>
    </row>
    <row r="694" spans="1:1" x14ac:dyDescent="0.3">
      <c r="A694" s="11" t="s">
        <v>779</v>
      </c>
    </row>
    <row r="695" spans="1:1" x14ac:dyDescent="0.3">
      <c r="A695" s="11" t="s">
        <v>3431</v>
      </c>
    </row>
    <row r="696" spans="1:1" x14ac:dyDescent="0.3">
      <c r="A696" s="11" t="s">
        <v>949</v>
      </c>
    </row>
    <row r="697" spans="1:1" x14ac:dyDescent="0.3">
      <c r="A697" s="11" t="s">
        <v>2020</v>
      </c>
    </row>
    <row r="698" spans="1:1" x14ac:dyDescent="0.3">
      <c r="A698" s="11" t="s">
        <v>599</v>
      </c>
    </row>
    <row r="699" spans="1:1" x14ac:dyDescent="0.3">
      <c r="A699" s="11" t="s">
        <v>5565</v>
      </c>
    </row>
    <row r="700" spans="1:1" x14ac:dyDescent="0.3">
      <c r="A700" s="11" t="s">
        <v>2376</v>
      </c>
    </row>
    <row r="701" spans="1:1" x14ac:dyDescent="0.3">
      <c r="A701" s="11" t="s">
        <v>4700</v>
      </c>
    </row>
    <row r="702" spans="1:1" x14ac:dyDescent="0.3">
      <c r="A702" s="11" t="s">
        <v>2447</v>
      </c>
    </row>
    <row r="703" spans="1:1" x14ac:dyDescent="0.3">
      <c r="A703" s="11" t="s">
        <v>6134</v>
      </c>
    </row>
    <row r="704" spans="1:1" x14ac:dyDescent="0.3">
      <c r="A704" s="11" t="s">
        <v>4809</v>
      </c>
    </row>
    <row r="705" spans="1:1" x14ac:dyDescent="0.3">
      <c r="A705" s="11" t="s">
        <v>5484</v>
      </c>
    </row>
    <row r="706" spans="1:1" x14ac:dyDescent="0.3">
      <c r="A706" s="11" t="s">
        <v>5369</v>
      </c>
    </row>
    <row r="707" spans="1:1" x14ac:dyDescent="0.3">
      <c r="A707" s="11" t="s">
        <v>2981</v>
      </c>
    </row>
    <row r="708" spans="1:1" x14ac:dyDescent="0.3">
      <c r="A708" s="11" t="s">
        <v>867</v>
      </c>
    </row>
    <row r="709" spans="1:1" x14ac:dyDescent="0.3">
      <c r="A709" s="11" t="s">
        <v>3660</v>
      </c>
    </row>
    <row r="710" spans="1:1" x14ac:dyDescent="0.3">
      <c r="A710" s="11" t="s">
        <v>3101</v>
      </c>
    </row>
    <row r="711" spans="1:1" x14ac:dyDescent="0.3">
      <c r="A711" s="11" t="s">
        <v>694</v>
      </c>
    </row>
    <row r="712" spans="1:1" x14ac:dyDescent="0.3">
      <c r="A712" s="11" t="s">
        <v>4592</v>
      </c>
    </row>
    <row r="713" spans="1:1" x14ac:dyDescent="0.3">
      <c r="A713" s="11" t="s">
        <v>5916</v>
      </c>
    </row>
    <row r="714" spans="1:1" x14ac:dyDescent="0.3">
      <c r="A714" s="11" t="s">
        <v>4731</v>
      </c>
    </row>
    <row r="715" spans="1:1" x14ac:dyDescent="0.3">
      <c r="A715" s="11" t="s">
        <v>6102</v>
      </c>
    </row>
    <row r="716" spans="1:1" x14ac:dyDescent="0.3">
      <c r="A716" s="11" t="s">
        <v>2722</v>
      </c>
    </row>
    <row r="717" spans="1:1" x14ac:dyDescent="0.3">
      <c r="A717" s="11" t="s">
        <v>1964</v>
      </c>
    </row>
    <row r="718" spans="1:1" x14ac:dyDescent="0.3">
      <c r="A718" s="11" t="s">
        <v>5363</v>
      </c>
    </row>
    <row r="719" spans="1:1" x14ac:dyDescent="0.3">
      <c r="A719" s="11" t="s">
        <v>3171</v>
      </c>
    </row>
    <row r="720" spans="1:1" x14ac:dyDescent="0.3">
      <c r="A720" s="11" t="s">
        <v>2453</v>
      </c>
    </row>
    <row r="721" spans="1:1" x14ac:dyDescent="0.3">
      <c r="A721" s="11" t="s">
        <v>5051</v>
      </c>
    </row>
    <row r="722" spans="1:1" x14ac:dyDescent="0.3">
      <c r="A722" s="11" t="s">
        <v>3380</v>
      </c>
    </row>
    <row r="723" spans="1:1" x14ac:dyDescent="0.3">
      <c r="A723" s="11" t="s">
        <v>4251</v>
      </c>
    </row>
    <row r="724" spans="1:1" x14ac:dyDescent="0.3">
      <c r="A724" s="11" t="s">
        <v>1801</v>
      </c>
    </row>
    <row r="725" spans="1:1" x14ac:dyDescent="0.3">
      <c r="A725" s="11" t="s">
        <v>1885</v>
      </c>
    </row>
    <row r="726" spans="1:1" x14ac:dyDescent="0.3">
      <c r="A726" s="11" t="s">
        <v>2063</v>
      </c>
    </row>
    <row r="727" spans="1:1" x14ac:dyDescent="0.3">
      <c r="A727" s="11" t="s">
        <v>834</v>
      </c>
    </row>
    <row r="728" spans="1:1" x14ac:dyDescent="0.3">
      <c r="A728" s="11" t="s">
        <v>5974</v>
      </c>
    </row>
    <row r="729" spans="1:1" x14ac:dyDescent="0.3">
      <c r="A729" s="11" t="s">
        <v>2325</v>
      </c>
    </row>
    <row r="730" spans="1:1" x14ac:dyDescent="0.3">
      <c r="A730" s="11" t="s">
        <v>3177</v>
      </c>
    </row>
    <row r="731" spans="1:1" x14ac:dyDescent="0.3">
      <c r="A731" s="11" t="s">
        <v>4546</v>
      </c>
    </row>
    <row r="732" spans="1:1" x14ac:dyDescent="0.3">
      <c r="A732" s="11" t="s">
        <v>1929</v>
      </c>
    </row>
    <row r="733" spans="1:1" x14ac:dyDescent="0.3">
      <c r="A733" s="11" t="s">
        <v>1689</v>
      </c>
    </row>
    <row r="734" spans="1:1" x14ac:dyDescent="0.3">
      <c r="A734" s="11" t="s">
        <v>1527</v>
      </c>
    </row>
    <row r="735" spans="1:1" x14ac:dyDescent="0.3">
      <c r="A735" s="11" t="s">
        <v>1749</v>
      </c>
    </row>
    <row r="736" spans="1:1" x14ac:dyDescent="0.3">
      <c r="A736" s="11" t="s">
        <v>4997</v>
      </c>
    </row>
    <row r="737" spans="1:1" x14ac:dyDescent="0.3">
      <c r="A737" s="11" t="s">
        <v>3314</v>
      </c>
    </row>
    <row r="738" spans="1:1" x14ac:dyDescent="0.3">
      <c r="A738" s="11" t="s">
        <v>4013</v>
      </c>
    </row>
    <row r="739" spans="1:1" x14ac:dyDescent="0.3">
      <c r="A739" s="11" t="s">
        <v>5183</v>
      </c>
    </row>
    <row r="740" spans="1:1" x14ac:dyDescent="0.3">
      <c r="A740" s="11" t="s">
        <v>908</v>
      </c>
    </row>
    <row r="741" spans="1:1" x14ac:dyDescent="0.3">
      <c r="A741" s="11" t="s">
        <v>2622</v>
      </c>
    </row>
    <row r="742" spans="1:1" x14ac:dyDescent="0.3">
      <c r="A742" s="11" t="s">
        <v>2370</v>
      </c>
    </row>
    <row r="743" spans="1:1" x14ac:dyDescent="0.3">
      <c r="A743" s="11" t="s">
        <v>981</v>
      </c>
    </row>
    <row r="744" spans="1:1" x14ac:dyDescent="0.3">
      <c r="A744" s="11" t="s">
        <v>955</v>
      </c>
    </row>
    <row r="745" spans="1:1" x14ac:dyDescent="0.3">
      <c r="A745" s="11" t="s">
        <v>1039</v>
      </c>
    </row>
    <row r="746" spans="1:1" x14ac:dyDescent="0.3">
      <c r="A746" s="11" t="s">
        <v>1228</v>
      </c>
    </row>
    <row r="747" spans="1:1" x14ac:dyDescent="0.3">
      <c r="A747" s="11" t="s">
        <v>5473</v>
      </c>
    </row>
    <row r="748" spans="1:1" x14ac:dyDescent="0.3">
      <c r="A748" s="11" t="s">
        <v>3873</v>
      </c>
    </row>
    <row r="749" spans="1:1" x14ac:dyDescent="0.3">
      <c r="A749" s="11" t="s">
        <v>2483</v>
      </c>
    </row>
    <row r="750" spans="1:1" x14ac:dyDescent="0.3">
      <c r="A750" s="11" t="s">
        <v>3623</v>
      </c>
    </row>
    <row r="751" spans="1:1" x14ac:dyDescent="0.3">
      <c r="A751" s="11" t="s">
        <v>3392</v>
      </c>
    </row>
    <row r="752" spans="1:1" x14ac:dyDescent="0.3">
      <c r="A752" s="11" t="s">
        <v>2459</v>
      </c>
    </row>
    <row r="753" spans="1:1" x14ac:dyDescent="0.3">
      <c r="A753" s="11" t="s">
        <v>1562</v>
      </c>
    </row>
    <row r="754" spans="1:1" x14ac:dyDescent="0.3">
      <c r="A754" s="11" t="s">
        <v>2274</v>
      </c>
    </row>
    <row r="755" spans="1:1" x14ac:dyDescent="0.3">
      <c r="A755" s="11" t="s">
        <v>5124</v>
      </c>
    </row>
    <row r="756" spans="1:1" x14ac:dyDescent="0.3">
      <c r="A756" s="11" t="s">
        <v>3500</v>
      </c>
    </row>
    <row r="757" spans="1:1" x14ac:dyDescent="0.3">
      <c r="A757" s="11" t="s">
        <v>6077</v>
      </c>
    </row>
    <row r="758" spans="1:1" x14ac:dyDescent="0.3">
      <c r="A758" s="11" t="s">
        <v>2435</v>
      </c>
    </row>
    <row r="759" spans="1:1" x14ac:dyDescent="0.3">
      <c r="A759" s="11" t="s">
        <v>4843</v>
      </c>
    </row>
    <row r="760" spans="1:1" x14ac:dyDescent="0.3">
      <c r="A760" s="11" t="s">
        <v>5945</v>
      </c>
    </row>
    <row r="761" spans="1:1" x14ac:dyDescent="0.3">
      <c r="A761" s="11" t="s">
        <v>1147</v>
      </c>
    </row>
    <row r="762" spans="1:1" x14ac:dyDescent="0.3">
      <c r="A762" s="11" t="s">
        <v>2564</v>
      </c>
    </row>
    <row r="763" spans="1:1" x14ac:dyDescent="0.3">
      <c r="A763" s="11" t="s">
        <v>1846</v>
      </c>
    </row>
    <row r="764" spans="1:1" x14ac:dyDescent="0.3">
      <c r="A764" s="11" t="s">
        <v>5990</v>
      </c>
    </row>
    <row r="765" spans="1:1" x14ac:dyDescent="0.3">
      <c r="A765" s="11" t="s">
        <v>5440</v>
      </c>
    </row>
    <row r="766" spans="1:1" x14ac:dyDescent="0.3">
      <c r="A766" s="11" t="s">
        <v>5108</v>
      </c>
    </row>
    <row r="767" spans="1:1" x14ac:dyDescent="0.3">
      <c r="A767" s="11" t="s">
        <v>2239</v>
      </c>
    </row>
    <row r="768" spans="1:1" x14ac:dyDescent="0.3">
      <c r="A768" s="11" t="s">
        <v>1678</v>
      </c>
    </row>
    <row r="769" spans="1:1" x14ac:dyDescent="0.3">
      <c r="A769" s="11" t="s">
        <v>1790</v>
      </c>
    </row>
    <row r="770" spans="1:1" x14ac:dyDescent="0.3">
      <c r="A770" s="11" t="s">
        <v>1907</v>
      </c>
    </row>
    <row r="771" spans="1:1" x14ac:dyDescent="0.3">
      <c r="A771" s="11" t="s">
        <v>6071</v>
      </c>
    </row>
    <row r="772" spans="1:1" x14ac:dyDescent="0.3">
      <c r="A772" s="11" t="s">
        <v>3419</v>
      </c>
    </row>
    <row r="773" spans="1:1" x14ac:dyDescent="0.3">
      <c r="A773" s="11" t="s">
        <v>3757</v>
      </c>
    </row>
    <row r="774" spans="1:1" x14ac:dyDescent="0.3">
      <c r="A774" s="11" t="s">
        <v>4320</v>
      </c>
    </row>
    <row r="775" spans="1:1" x14ac:dyDescent="0.3">
      <c r="A775" s="11" t="s">
        <v>4615</v>
      </c>
    </row>
    <row r="776" spans="1:1" x14ac:dyDescent="0.3">
      <c r="A776" s="11" t="s">
        <v>5520</v>
      </c>
    </row>
    <row r="777" spans="1:1" x14ac:dyDescent="0.3">
      <c r="A777" s="11" t="s">
        <v>1660</v>
      </c>
    </row>
    <row r="778" spans="1:1" x14ac:dyDescent="0.3">
      <c r="A778" s="11" t="s">
        <v>751</v>
      </c>
    </row>
    <row r="779" spans="1:1" x14ac:dyDescent="0.3">
      <c r="A779" s="11" t="s">
        <v>4116</v>
      </c>
    </row>
    <row r="780" spans="1:1" x14ac:dyDescent="0.3">
      <c r="A780" s="11" t="s">
        <v>1515</v>
      </c>
    </row>
    <row r="781" spans="1:1" x14ac:dyDescent="0.3">
      <c r="A781" s="11" t="s">
        <v>5375</v>
      </c>
    </row>
    <row r="782" spans="1:1" x14ac:dyDescent="0.3">
      <c r="A782" s="11" t="s">
        <v>2505</v>
      </c>
    </row>
    <row r="783" spans="1:1" x14ac:dyDescent="0.3">
      <c r="A783" s="11" t="s">
        <v>4992</v>
      </c>
    </row>
    <row r="784" spans="1:1" x14ac:dyDescent="0.3">
      <c r="A784" s="11" t="s">
        <v>2695</v>
      </c>
    </row>
    <row r="785" spans="1:1" x14ac:dyDescent="0.3">
      <c r="A785" s="11" t="s">
        <v>925</v>
      </c>
    </row>
    <row r="786" spans="1:1" x14ac:dyDescent="0.3">
      <c r="A786" s="11" t="s">
        <v>1454</v>
      </c>
    </row>
    <row r="787" spans="1:1" x14ac:dyDescent="0.3">
      <c r="A787" s="11" t="s">
        <v>1493</v>
      </c>
    </row>
    <row r="788" spans="1:1" x14ac:dyDescent="0.3">
      <c r="A788" s="11" t="s">
        <v>520</v>
      </c>
    </row>
    <row r="789" spans="1:1" x14ac:dyDescent="0.3">
      <c r="A789" s="11" t="s">
        <v>5764</v>
      </c>
    </row>
    <row r="790" spans="1:1" x14ac:dyDescent="0.3">
      <c r="A790" s="11" t="s">
        <v>3644</v>
      </c>
    </row>
    <row r="791" spans="1:1" x14ac:dyDescent="0.3">
      <c r="A791" s="11" t="s">
        <v>2799</v>
      </c>
    </row>
    <row r="792" spans="1:1" x14ac:dyDescent="0.3">
      <c r="A792" s="11" t="s">
        <v>5743</v>
      </c>
    </row>
    <row r="793" spans="1:1" x14ac:dyDescent="0.3">
      <c r="A793" s="11" t="s">
        <v>2188</v>
      </c>
    </row>
    <row r="794" spans="1:1" x14ac:dyDescent="0.3">
      <c r="A794" s="11" t="s">
        <v>1580</v>
      </c>
    </row>
    <row r="795" spans="1:1" x14ac:dyDescent="0.3">
      <c r="A795" s="11" t="s">
        <v>1240</v>
      </c>
    </row>
    <row r="796" spans="1:1" x14ac:dyDescent="0.3">
      <c r="A796" s="11" t="s">
        <v>5047</v>
      </c>
    </row>
    <row r="797" spans="1:1" x14ac:dyDescent="0.3">
      <c r="A797" s="11" t="s">
        <v>1066</v>
      </c>
    </row>
    <row r="798" spans="1:1" x14ac:dyDescent="0.3">
      <c r="A798" s="11" t="s">
        <v>3572</v>
      </c>
    </row>
    <row r="799" spans="1:1" x14ac:dyDescent="0.3">
      <c r="A799" s="11" t="s">
        <v>4677</v>
      </c>
    </row>
    <row r="800" spans="1:1" x14ac:dyDescent="0.3">
      <c r="A800" s="11" t="s">
        <v>5357</v>
      </c>
    </row>
    <row r="801" spans="1:1" x14ac:dyDescent="0.3">
      <c r="A801" s="11" t="s">
        <v>991</v>
      </c>
    </row>
    <row r="802" spans="1:1" x14ac:dyDescent="0.3">
      <c r="A802" s="11" t="s">
        <v>3835</v>
      </c>
    </row>
    <row r="803" spans="1:1" x14ac:dyDescent="0.3">
      <c r="A803" s="11" t="s">
        <v>2935</v>
      </c>
    </row>
    <row r="804" spans="1:1" x14ac:dyDescent="0.3">
      <c r="A804" s="11" t="s">
        <v>4230</v>
      </c>
    </row>
    <row r="805" spans="1:1" x14ac:dyDescent="0.3">
      <c r="A805" s="11" t="s">
        <v>1187</v>
      </c>
    </row>
    <row r="806" spans="1:1" x14ac:dyDescent="0.3">
      <c r="A806" s="11" t="s">
        <v>4865</v>
      </c>
    </row>
    <row r="807" spans="1:1" x14ac:dyDescent="0.3">
      <c r="A807" s="11" t="s">
        <v>5217</v>
      </c>
    </row>
    <row r="808" spans="1:1" x14ac:dyDescent="0.3">
      <c r="A808" s="11" t="s">
        <v>2872</v>
      </c>
    </row>
    <row r="809" spans="1:1" x14ac:dyDescent="0.3">
      <c r="A809" s="11" t="s">
        <v>5300</v>
      </c>
    </row>
    <row r="810" spans="1:1" x14ac:dyDescent="0.3">
      <c r="A810" s="11" t="s">
        <v>1340</v>
      </c>
    </row>
    <row r="811" spans="1:1" x14ac:dyDescent="0.3">
      <c r="A811" s="11" t="s">
        <v>5655</v>
      </c>
    </row>
    <row r="812" spans="1:1" x14ac:dyDescent="0.3">
      <c r="A812" s="11" t="s">
        <v>1217</v>
      </c>
    </row>
    <row r="813" spans="1:1" x14ac:dyDescent="0.3">
      <c r="A813" s="11" t="s">
        <v>3803</v>
      </c>
    </row>
    <row r="814" spans="1:1" x14ac:dyDescent="0.3">
      <c r="A814" s="11" t="s">
        <v>1778</v>
      </c>
    </row>
    <row r="815" spans="1:1" x14ac:dyDescent="0.3">
      <c r="A815" s="11" t="s">
        <v>1807</v>
      </c>
    </row>
    <row r="816" spans="1:1" x14ac:dyDescent="0.3">
      <c r="A816" s="11" t="s">
        <v>2975</v>
      </c>
    </row>
    <row r="817" spans="1:1" x14ac:dyDescent="0.3">
      <c r="A817" s="11" t="s">
        <v>1568</v>
      </c>
    </row>
    <row r="818" spans="1:1" x14ac:dyDescent="0.3">
      <c r="A818" s="11" t="s">
        <v>1013</v>
      </c>
    </row>
    <row r="819" spans="1:1" x14ac:dyDescent="0.3">
      <c r="A819" s="11" t="s">
        <v>5638</v>
      </c>
    </row>
    <row r="820" spans="1:1" x14ac:dyDescent="0.3">
      <c r="A820" s="11" t="s">
        <v>4870</v>
      </c>
    </row>
    <row r="821" spans="1:1" x14ac:dyDescent="0.3">
      <c r="A821" s="11" t="s">
        <v>4506</v>
      </c>
    </row>
    <row r="822" spans="1:1" x14ac:dyDescent="0.3">
      <c r="A822" s="11" t="s">
        <v>1834</v>
      </c>
    </row>
    <row r="823" spans="1:1" x14ac:dyDescent="0.3">
      <c r="A823" s="11" t="s">
        <v>1181</v>
      </c>
    </row>
    <row r="824" spans="1:1" x14ac:dyDescent="0.3">
      <c r="A824" s="11" t="s">
        <v>3606</v>
      </c>
    </row>
    <row r="825" spans="1:1" x14ac:dyDescent="0.3">
      <c r="A825" s="11" t="s">
        <v>4355</v>
      </c>
    </row>
    <row r="826" spans="1:1" x14ac:dyDescent="0.3">
      <c r="A826" s="11" t="s">
        <v>1649</v>
      </c>
    </row>
    <row r="827" spans="1:1" x14ac:dyDescent="0.3">
      <c r="A827" s="11" t="s">
        <v>5097</v>
      </c>
    </row>
    <row r="828" spans="1:1" x14ac:dyDescent="0.3">
      <c r="A828" s="11" t="s">
        <v>1078</v>
      </c>
    </row>
    <row r="829" spans="1:1" x14ac:dyDescent="0.3">
      <c r="A829" s="11" t="s">
        <v>1256</v>
      </c>
    </row>
    <row r="830" spans="1:1" x14ac:dyDescent="0.3">
      <c r="A830" s="11" t="s">
        <v>4660</v>
      </c>
    </row>
    <row r="831" spans="1:1" x14ac:dyDescent="0.3">
      <c r="A831" s="11" t="s">
        <v>3148</v>
      </c>
    </row>
    <row r="832" spans="1:1" x14ac:dyDescent="0.3">
      <c r="A832" s="11" t="s">
        <v>5775</v>
      </c>
    </row>
    <row r="833" spans="1:1" x14ac:dyDescent="0.3">
      <c r="A833" s="11" t="s">
        <v>4718</v>
      </c>
    </row>
    <row r="834" spans="1:1" x14ac:dyDescent="0.3">
      <c r="A834" s="11" t="s">
        <v>3924</v>
      </c>
    </row>
    <row r="835" spans="1:1" x14ac:dyDescent="0.3">
      <c r="A835" s="11" t="s">
        <v>5451</v>
      </c>
    </row>
    <row r="836" spans="1:1" x14ac:dyDescent="0.3">
      <c r="A836" s="11" t="s">
        <v>3690</v>
      </c>
    </row>
    <row r="837" spans="1:1" x14ac:dyDescent="0.3">
      <c r="A837" s="11" t="s">
        <v>1766</v>
      </c>
    </row>
    <row r="838" spans="1:1" x14ac:dyDescent="0.3">
      <c r="A838" s="11" t="s">
        <v>3906</v>
      </c>
    </row>
    <row r="839" spans="1:1" x14ac:dyDescent="0.3">
      <c r="A839" s="11" t="s">
        <v>3272</v>
      </c>
    </row>
    <row r="840" spans="1:1" x14ac:dyDescent="0.3">
      <c r="A840" s="11" t="s">
        <v>1267</v>
      </c>
    </row>
    <row r="841" spans="1:1" x14ac:dyDescent="0.3">
      <c r="A841" s="11" t="s">
        <v>2403</v>
      </c>
    </row>
    <row r="842" spans="1:1" x14ac:dyDescent="0.3">
      <c r="A842" s="11" t="s">
        <v>5544</v>
      </c>
    </row>
    <row r="843" spans="1:1" x14ac:dyDescent="0.3">
      <c r="A843" s="11" t="s">
        <v>767</v>
      </c>
    </row>
    <row r="844" spans="1:1" x14ac:dyDescent="0.3">
      <c r="A844" s="11" t="s">
        <v>3779</v>
      </c>
    </row>
    <row r="845" spans="1:1" x14ac:dyDescent="0.3">
      <c r="A845" s="11" t="s">
        <v>4837</v>
      </c>
    </row>
    <row r="846" spans="1:1" x14ac:dyDescent="0.3">
      <c r="A846" s="11" t="s">
        <v>961</v>
      </c>
    </row>
    <row r="847" spans="1:1" x14ac:dyDescent="0.3">
      <c r="A847" s="11" t="s">
        <v>4788</v>
      </c>
    </row>
    <row r="848" spans="1:1" x14ac:dyDescent="0.3">
      <c r="A848" s="11" t="s">
        <v>5514</v>
      </c>
    </row>
    <row r="849" spans="1:1" x14ac:dyDescent="0.3">
      <c r="A849" s="11" t="s">
        <v>1482</v>
      </c>
    </row>
    <row r="850" spans="1:1" x14ac:dyDescent="0.3">
      <c r="A850" s="11" t="s">
        <v>3719</v>
      </c>
    </row>
    <row r="851" spans="1:1" x14ac:dyDescent="0.3">
      <c r="A851" s="11" t="s">
        <v>6014</v>
      </c>
    </row>
    <row r="852" spans="1:1" x14ac:dyDescent="0.3">
      <c r="A852" s="11" t="s">
        <v>4412</v>
      </c>
    </row>
    <row r="853" spans="1:1" x14ac:dyDescent="0.3">
      <c r="A853" s="11" t="s">
        <v>2835</v>
      </c>
    </row>
    <row r="854" spans="1:1" x14ac:dyDescent="0.3">
      <c r="A854" s="11" t="s">
        <v>3459</v>
      </c>
    </row>
    <row r="855" spans="1:1" x14ac:dyDescent="0.3">
      <c r="A855" s="11" t="s">
        <v>3855</v>
      </c>
    </row>
    <row r="856" spans="1:1" x14ac:dyDescent="0.3">
      <c r="A856" s="11" t="s">
        <v>3362</v>
      </c>
    </row>
    <row r="857" spans="1:1" x14ac:dyDescent="0.3">
      <c r="A857" s="11" t="s">
        <v>1113</v>
      </c>
    </row>
    <row r="858" spans="1:1" x14ac:dyDescent="0.3">
      <c r="A858" s="11" t="s">
        <v>3600</v>
      </c>
    </row>
    <row r="859" spans="1:1" x14ac:dyDescent="0.3">
      <c r="A859" s="11" t="s">
        <v>3226</v>
      </c>
    </row>
    <row r="860" spans="1:1" x14ac:dyDescent="0.3">
      <c r="A860" s="11" t="s">
        <v>2850</v>
      </c>
    </row>
    <row r="861" spans="1:1" x14ac:dyDescent="0.3">
      <c r="A861" s="11" t="s">
        <v>2946</v>
      </c>
    </row>
    <row r="862" spans="1:1" x14ac:dyDescent="0.3">
      <c r="A862" s="11" t="s">
        <v>1873</v>
      </c>
    </row>
    <row r="863" spans="1:1" x14ac:dyDescent="0.3">
      <c r="A863" s="11" t="s">
        <v>4212</v>
      </c>
    </row>
    <row r="864" spans="1:1" x14ac:dyDescent="0.3">
      <c r="A864" s="11" t="s">
        <v>5532</v>
      </c>
    </row>
    <row r="865" spans="1:1" x14ac:dyDescent="0.3">
      <c r="A865" s="11" t="s">
        <v>1654</v>
      </c>
    </row>
    <row r="866" spans="1:1" x14ac:dyDescent="0.3">
      <c r="A866" s="11" t="s">
        <v>4558</v>
      </c>
    </row>
    <row r="867" spans="1:1" x14ac:dyDescent="0.3">
      <c r="A867" s="11" t="s">
        <v>2555</v>
      </c>
    </row>
    <row r="868" spans="1:1" x14ac:dyDescent="0.3">
      <c r="A868" s="11" t="s">
        <v>4287</v>
      </c>
    </row>
    <row r="869" spans="1:1" x14ac:dyDescent="0.3">
      <c r="A869" s="11" t="s">
        <v>4434</v>
      </c>
    </row>
    <row r="870" spans="1:1" x14ac:dyDescent="0.3">
      <c r="A870" s="11" t="s">
        <v>4024</v>
      </c>
    </row>
    <row r="871" spans="1:1" x14ac:dyDescent="0.3">
      <c r="A871" s="11" t="s">
        <v>2471</v>
      </c>
    </row>
    <row r="872" spans="1:1" x14ac:dyDescent="0.3">
      <c r="A872" s="11" t="s">
        <v>5644</v>
      </c>
    </row>
    <row r="873" spans="1:1" x14ac:dyDescent="0.3">
      <c r="A873" s="11" t="s">
        <v>1449</v>
      </c>
    </row>
    <row r="874" spans="1:1" x14ac:dyDescent="0.3">
      <c r="A874" s="11" t="s">
        <v>2364</v>
      </c>
    </row>
    <row r="875" spans="1:1" x14ac:dyDescent="0.3">
      <c r="A875" s="11" t="s">
        <v>5710</v>
      </c>
    </row>
    <row r="876" spans="1:1" x14ac:dyDescent="0.3">
      <c r="A876" s="11" t="s">
        <v>5933</v>
      </c>
    </row>
    <row r="877" spans="1:1" x14ac:dyDescent="0.3">
      <c r="A877" s="11" t="s">
        <v>4406</v>
      </c>
    </row>
    <row r="878" spans="1:1" x14ac:dyDescent="0.3">
      <c r="A878" s="11" t="s">
        <v>621</v>
      </c>
    </row>
    <row r="879" spans="1:1" x14ac:dyDescent="0.3">
      <c r="A879" s="11" t="s">
        <v>3511</v>
      </c>
    </row>
    <row r="880" spans="1:1" x14ac:dyDescent="0.3">
      <c r="A880" s="11" t="s">
        <v>571</v>
      </c>
    </row>
    <row r="881" spans="1:1" x14ac:dyDescent="0.3">
      <c r="A881" s="11" t="s">
        <v>5571</v>
      </c>
    </row>
    <row r="882" spans="1:1" x14ac:dyDescent="0.3">
      <c r="A882" s="11" t="s">
        <v>2080</v>
      </c>
    </row>
    <row r="883" spans="1:1" x14ac:dyDescent="0.3">
      <c r="A883" s="11" t="s">
        <v>4057</v>
      </c>
    </row>
    <row r="884" spans="1:1" x14ac:dyDescent="0.3">
      <c r="A884" s="11" t="s">
        <v>5206</v>
      </c>
    </row>
    <row r="885" spans="1:1" x14ac:dyDescent="0.3">
      <c r="A885" s="11" t="s">
        <v>6002</v>
      </c>
    </row>
    <row r="886" spans="1:1" x14ac:dyDescent="0.3">
      <c r="A886" s="11" t="s">
        <v>2308</v>
      </c>
    </row>
    <row r="887" spans="1:1" x14ac:dyDescent="0.3">
      <c r="A887" s="11" t="s">
        <v>5091</v>
      </c>
    </row>
    <row r="888" spans="1:1" x14ac:dyDescent="0.3">
      <c r="A888" s="11" t="s">
        <v>1408</v>
      </c>
    </row>
    <row r="889" spans="1:1" x14ac:dyDescent="0.3">
      <c r="A889" s="11" t="s">
        <v>4430</v>
      </c>
    </row>
    <row r="890" spans="1:1" x14ac:dyDescent="0.3">
      <c r="A890" s="11" t="s">
        <v>4968</v>
      </c>
    </row>
    <row r="891" spans="1:1" x14ac:dyDescent="0.3">
      <c r="A891" s="11" t="s">
        <v>2347</v>
      </c>
    </row>
    <row r="892" spans="1:1" x14ac:dyDescent="0.3">
      <c r="A892" s="11" t="s">
        <v>5408</v>
      </c>
    </row>
    <row r="893" spans="1:1" x14ac:dyDescent="0.3">
      <c r="A893" s="11" t="s">
        <v>4281</v>
      </c>
    </row>
    <row r="894" spans="1:1" x14ac:dyDescent="0.3">
      <c r="A894" s="11" t="s">
        <v>1879</v>
      </c>
    </row>
    <row r="895" spans="1:1" x14ac:dyDescent="0.3">
      <c r="A895" s="11" t="s">
        <v>5610</v>
      </c>
    </row>
    <row r="896" spans="1:1" x14ac:dyDescent="0.3">
      <c r="A896" s="11" t="s">
        <v>2336</v>
      </c>
    </row>
    <row r="897" spans="1:1" x14ac:dyDescent="0.3">
      <c r="A897" s="11" t="s">
        <v>4540</v>
      </c>
    </row>
    <row r="898" spans="1:1" x14ac:dyDescent="0.3">
      <c r="A898" s="11" t="s">
        <v>1402</v>
      </c>
    </row>
    <row r="899" spans="1:1" x14ac:dyDescent="0.3">
      <c r="A899" s="11" t="s">
        <v>5041</v>
      </c>
    </row>
    <row r="900" spans="1:1" x14ac:dyDescent="0.3">
      <c r="A900" s="11" t="s">
        <v>4366</v>
      </c>
    </row>
    <row r="901" spans="1:1" x14ac:dyDescent="0.3">
      <c r="A901" s="11" t="s">
        <v>6031</v>
      </c>
    </row>
    <row r="902" spans="1:1" x14ac:dyDescent="0.3">
      <c r="A902" s="11" t="s">
        <v>4134</v>
      </c>
    </row>
    <row r="903" spans="1:1" x14ac:dyDescent="0.3">
      <c r="A903" s="11" t="s">
        <v>1720</v>
      </c>
    </row>
    <row r="904" spans="1:1" x14ac:dyDescent="0.3">
      <c r="A904" s="11" t="s">
        <v>4950</v>
      </c>
    </row>
    <row r="905" spans="1:1" x14ac:dyDescent="0.3">
      <c r="A905" s="11" t="s">
        <v>3386</v>
      </c>
    </row>
    <row r="906" spans="1:1" x14ac:dyDescent="0.3">
      <c r="A906" s="11" t="s">
        <v>4939</v>
      </c>
    </row>
    <row r="907" spans="1:1" x14ac:dyDescent="0.3">
      <c r="A907" s="11" t="s">
        <v>2883</v>
      </c>
    </row>
    <row r="908" spans="1:1" x14ac:dyDescent="0.3">
      <c r="A908" s="11" t="s">
        <v>5586</v>
      </c>
    </row>
    <row r="909" spans="1:1" x14ac:dyDescent="0.3">
      <c r="A909" s="11" t="s">
        <v>2465</v>
      </c>
    </row>
    <row r="910" spans="1:1" x14ac:dyDescent="0.3">
      <c r="A910" s="11" t="s">
        <v>2154</v>
      </c>
    </row>
    <row r="911" spans="1:1" x14ac:dyDescent="0.3">
      <c r="A911" s="11" t="s">
        <v>1918</v>
      </c>
    </row>
    <row r="912" spans="1:1" x14ac:dyDescent="0.3">
      <c r="A912" s="11" t="s">
        <v>582</v>
      </c>
    </row>
    <row r="913" spans="1:1" x14ac:dyDescent="0.3">
      <c r="A913" s="11" t="s">
        <v>3137</v>
      </c>
    </row>
    <row r="914" spans="1:1" x14ac:dyDescent="0.3">
      <c r="A914" s="11" t="s">
        <v>3095</v>
      </c>
    </row>
    <row r="915" spans="1:1" x14ac:dyDescent="0.3">
      <c r="A915" s="11" t="s">
        <v>3740</v>
      </c>
    </row>
    <row r="916" spans="1:1" x14ac:dyDescent="0.3">
      <c r="A916" s="11" t="s">
        <v>3890</v>
      </c>
    </row>
    <row r="917" spans="1:1" x14ac:dyDescent="0.3">
      <c r="A917" s="11" t="s">
        <v>6198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83" zoomScaleNormal="115" workbookViewId="0">
      <selection activeCell="H18" sqref="H18"/>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6.77734375"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f t="shared" si="0"/>
        <v>12.95</v>
      </c>
      <c r="N4" t="str">
        <f t="shared" si="1"/>
        <v>Arabica</v>
      </c>
      <c r="O4" t="str">
        <f t="shared" si="2"/>
        <v>Light</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f t="shared" si="0"/>
        <v>54.969999999999992</v>
      </c>
      <c r="N6" t="str">
        <f t="shared" si="1"/>
        <v>Robusta</v>
      </c>
      <c r="O6" t="str">
        <f t="shared" si="2"/>
        <v>Light</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f t="shared" si="0"/>
        <v>38.849999999999994</v>
      </c>
      <c r="N7" t="str">
        <f t="shared" si="1"/>
        <v>Liberica</v>
      </c>
      <c r="O7" t="str">
        <f t="shared" si="2"/>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f t="shared" si="0"/>
        <v>4.7549999999999999</v>
      </c>
      <c r="N9" t="str">
        <f t="shared" si="1"/>
        <v>Liberica</v>
      </c>
      <c r="O9" t="str">
        <f t="shared" si="2"/>
        <v>Light</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f t="shared" si="0"/>
        <v>39.799999999999997</v>
      </c>
      <c r="N12" t="str">
        <f t="shared" si="1"/>
        <v>Arabica</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f t="shared" si="0"/>
        <v>170.77499999999998</v>
      </c>
      <c r="N13" t="str">
        <f t="shared" si="1"/>
        <v>Excelsa</v>
      </c>
      <c r="O13" t="str">
        <f t="shared" si="2"/>
        <v>Light</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f t="shared" si="0"/>
        <v>11.654999999999999</v>
      </c>
      <c r="N16" t="str">
        <f t="shared" si="1"/>
        <v>Liberica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f t="shared" si="0"/>
        <v>20.25</v>
      </c>
      <c r="N18" t="str">
        <f t="shared" si="1"/>
        <v>Arabica</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f t="shared" si="0"/>
        <v>77.699999999999989</v>
      </c>
      <c r="N19" t="str">
        <f t="shared" si="1"/>
        <v>Arabica</v>
      </c>
      <c r="O19" t="str">
        <f t="shared" si="2"/>
        <v>Light</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f t="shared" si="0"/>
        <v>16.875</v>
      </c>
      <c r="N21" t="str">
        <f t="shared" si="1"/>
        <v>Arabica</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f t="shared" si="0"/>
        <v>17.91</v>
      </c>
      <c r="N23" t="str">
        <f t="shared" si="1"/>
        <v>Arabica</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f t="shared" si="0"/>
        <v>11.94</v>
      </c>
      <c r="N25" t="str">
        <f t="shared" si="1"/>
        <v>Arabica</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f t="shared" si="0"/>
        <v>11.25</v>
      </c>
      <c r="N26" t="str">
        <f t="shared" si="1"/>
        <v>Arabica</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f t="shared" si="0"/>
        <v>27</v>
      </c>
      <c r="N28" t="str">
        <f t="shared" si="1"/>
        <v>Arabica</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f t="shared" si="0"/>
        <v>16.875</v>
      </c>
      <c r="N29" t="str">
        <f t="shared" si="1"/>
        <v>Arabica</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f t="shared" si="0"/>
        <v>17.91</v>
      </c>
      <c r="N30" t="str">
        <f t="shared" si="1"/>
        <v>Arabica</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f t="shared" si="0"/>
        <v>39.799999999999997</v>
      </c>
      <c r="N31" t="str">
        <f t="shared" si="1"/>
        <v>Arabica</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f t="shared" si="0"/>
        <v>21.825000000000003</v>
      </c>
      <c r="N32" t="str">
        <f t="shared" si="1"/>
        <v>Liberica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f t="shared" si="0"/>
        <v>35.82</v>
      </c>
      <c r="N33" t="str">
        <f t="shared" si="1"/>
        <v>Arabica</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f t="shared" si="0"/>
        <v>52.38</v>
      </c>
      <c r="N34" t="str">
        <f t="shared" si="1"/>
        <v>Liberica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f t="shared" si="0"/>
        <v>23.774999999999999</v>
      </c>
      <c r="N35" t="str">
        <f t="shared" si="1"/>
        <v>Liberica</v>
      </c>
      <c r="O35" t="str">
        <f t="shared" si="2"/>
        <v>Light</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f t="shared" si="0"/>
        <v>57.06</v>
      </c>
      <c r="N36" t="str">
        <f t="shared" si="1"/>
        <v>Liberica</v>
      </c>
      <c r="O36" t="str">
        <f t="shared" si="2"/>
        <v>Light</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f t="shared" si="0"/>
        <v>35.82</v>
      </c>
      <c r="N37" t="str">
        <f t="shared" si="1"/>
        <v>Arabica</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f t="shared" si="0"/>
        <v>8.73</v>
      </c>
      <c r="N38" t="str">
        <f t="shared" si="1"/>
        <v>Liberica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f t="shared" si="0"/>
        <v>28.53</v>
      </c>
      <c r="N39" t="str">
        <f t="shared" si="1"/>
        <v>Liberica</v>
      </c>
      <c r="O39" t="str">
        <f t="shared" si="2"/>
        <v>Light</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f t="shared" si="0"/>
        <v>43.650000000000006</v>
      </c>
      <c r="N42" t="str">
        <f t="shared" si="1"/>
        <v>Liberica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f t="shared" si="0"/>
        <v>72.91</v>
      </c>
      <c r="N45" t="str">
        <f t="shared" si="1"/>
        <v>Liberica</v>
      </c>
      <c r="O45" t="str">
        <f t="shared" si="2"/>
        <v>Light</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f t="shared" si="0"/>
        <v>178.70999999999998</v>
      </c>
      <c r="N47" t="str">
        <f t="shared" si="1"/>
        <v>Liberica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f t="shared" si="0"/>
        <v>7.77</v>
      </c>
      <c r="N49" t="str">
        <f t="shared" si="1"/>
        <v>Arabica</v>
      </c>
      <c r="O49" t="str">
        <f t="shared" si="2"/>
        <v>Light</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f t="shared" si="0"/>
        <v>91.539999999999992</v>
      </c>
      <c r="N50" t="str">
        <f t="shared" si="1"/>
        <v>Arabica</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f t="shared" si="0"/>
        <v>38.849999999999994</v>
      </c>
      <c r="N51" t="str">
        <f t="shared" si="1"/>
        <v>Arabica</v>
      </c>
      <c r="O51" t="str">
        <f t="shared" si="2"/>
        <v>Light</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f t="shared" si="0"/>
        <v>15.54</v>
      </c>
      <c r="N52" t="str">
        <f t="shared" si="1"/>
        <v>Liberica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f t="shared" si="0"/>
        <v>145.82</v>
      </c>
      <c r="N53" t="str">
        <f t="shared" si="1"/>
        <v>Liberica</v>
      </c>
      <c r="O53" t="str">
        <f t="shared" si="2"/>
        <v>Light</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f t="shared" si="0"/>
        <v>72.91</v>
      </c>
      <c r="N55" t="str">
        <f t="shared" si="1"/>
        <v>Liberica</v>
      </c>
      <c r="O55" t="str">
        <f t="shared" si="2"/>
        <v>Light</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f t="shared" si="0"/>
        <v>72.75</v>
      </c>
      <c r="N56" t="str">
        <f t="shared" si="1"/>
        <v>Liberica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f t="shared" si="0"/>
        <v>47.55</v>
      </c>
      <c r="N57" t="str">
        <f t="shared" si="1"/>
        <v>Liberica</v>
      </c>
      <c r="O57" t="str">
        <f t="shared" si="2"/>
        <v>Light</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f t="shared" si="0"/>
        <v>59.4</v>
      </c>
      <c r="N59" t="str">
        <f t="shared" si="1"/>
        <v>Excelsa</v>
      </c>
      <c r="O59" t="str">
        <f t="shared" si="2"/>
        <v>Light</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f t="shared" si="0"/>
        <v>89.35499999999999</v>
      </c>
      <c r="N60" t="str">
        <f t="shared" si="1"/>
        <v>Liberica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f t="shared" si="0"/>
        <v>26.19</v>
      </c>
      <c r="N61" t="str">
        <f t="shared" si="1"/>
        <v>Liberica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f t="shared" si="0"/>
        <v>114.42499999999998</v>
      </c>
      <c r="N62" t="str">
        <f t="shared" si="1"/>
        <v>Arabica</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f t="shared" si="0"/>
        <v>23.774999999999999</v>
      </c>
      <c r="N64" t="str">
        <f t="shared" si="1"/>
        <v>Liberica</v>
      </c>
      <c r="O64" t="str">
        <f t="shared" si="2"/>
        <v>Light</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f t="shared" si="0"/>
        <v>6.75</v>
      </c>
      <c r="N65" t="str">
        <f t="shared" si="1"/>
        <v>Arabica</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f t="shared" si="3"/>
        <v>7.169999999999999</v>
      </c>
      <c r="N68" t="str">
        <f t="shared" si="4"/>
        <v>Robusta</v>
      </c>
      <c r="O68" t="str">
        <f t="shared" si="5"/>
        <v>Light</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f t="shared" si="3"/>
        <v>9.51</v>
      </c>
      <c r="N69" t="str">
        <f t="shared" si="4"/>
        <v>Liberica</v>
      </c>
      <c r="O69" t="str">
        <f t="shared" si="5"/>
        <v>Light</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f t="shared" si="3"/>
        <v>136.61999999999998</v>
      </c>
      <c r="N72" t="str">
        <f t="shared" si="4"/>
        <v>Excelsa</v>
      </c>
      <c r="O72" t="str">
        <f t="shared" si="5"/>
        <v>Light</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f t="shared" si="3"/>
        <v>9.51</v>
      </c>
      <c r="N73" t="str">
        <f t="shared" si="4"/>
        <v>Liberica</v>
      </c>
      <c r="O73" t="str">
        <f t="shared" si="5"/>
        <v>Light</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f t="shared" si="3"/>
        <v>77.624999999999986</v>
      </c>
      <c r="N74" t="str">
        <f t="shared" si="4"/>
        <v>Arabica</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f t="shared" si="3"/>
        <v>21.825000000000003</v>
      </c>
      <c r="N75" t="str">
        <f t="shared" si="4"/>
        <v>Liberica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f t="shared" si="3"/>
        <v>17.82</v>
      </c>
      <c r="N76" t="str">
        <f t="shared" si="4"/>
        <v>Excelsa</v>
      </c>
      <c r="O76" t="str">
        <f t="shared" si="5"/>
        <v>Light</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f t="shared" si="3"/>
        <v>3.5849999999999995</v>
      </c>
      <c r="N78" t="str">
        <f t="shared" si="4"/>
        <v>Robusta</v>
      </c>
      <c r="O78" t="str">
        <f t="shared" si="5"/>
        <v>Light</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f t="shared" si="3"/>
        <v>40.5</v>
      </c>
      <c r="N80" t="str">
        <f t="shared" si="4"/>
        <v>Arabica</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f t="shared" si="3"/>
        <v>47.8</v>
      </c>
      <c r="N81" t="str">
        <f t="shared" si="4"/>
        <v>Robusta</v>
      </c>
      <c r="O81" t="str">
        <f t="shared" si="5"/>
        <v>Light</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f t="shared" si="3"/>
        <v>38.849999999999994</v>
      </c>
      <c r="N82" t="str">
        <f t="shared" si="4"/>
        <v>Arabica</v>
      </c>
      <c r="O82" t="str">
        <f t="shared" si="5"/>
        <v>Light</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f t="shared" si="3"/>
        <v>109.36499999999999</v>
      </c>
      <c r="N83" t="str">
        <f t="shared" si="4"/>
        <v>Liberica</v>
      </c>
      <c r="O83" t="str">
        <f t="shared" si="5"/>
        <v>Light</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f t="shared" si="3"/>
        <v>100.39499999999998</v>
      </c>
      <c r="N84" t="str">
        <f t="shared" si="4"/>
        <v>Liberica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f t="shared" si="3"/>
        <v>9.51</v>
      </c>
      <c r="N86" t="str">
        <f t="shared" si="4"/>
        <v>Liberica</v>
      </c>
      <c r="O86" t="str">
        <f t="shared" si="5"/>
        <v>Light</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f t="shared" si="3"/>
        <v>89.35499999999999</v>
      </c>
      <c r="N87" t="str">
        <f t="shared" si="4"/>
        <v>Arabica</v>
      </c>
      <c r="O87" t="str">
        <f t="shared" si="5"/>
        <v>Light</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f t="shared" si="3"/>
        <v>11.94</v>
      </c>
      <c r="N88" t="str">
        <f t="shared" si="4"/>
        <v>Arabica</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f t="shared" si="3"/>
        <v>33.75</v>
      </c>
      <c r="N89" t="str">
        <f t="shared" si="4"/>
        <v>Arabica</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f t="shared" si="3"/>
        <v>35.849999999999994</v>
      </c>
      <c r="N90" t="str">
        <f t="shared" si="4"/>
        <v>Robusta</v>
      </c>
      <c r="O90" t="str">
        <f t="shared" si="5"/>
        <v>Light</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f t="shared" si="3"/>
        <v>77.699999999999989</v>
      </c>
      <c r="N91" t="str">
        <f t="shared" si="4"/>
        <v>Arabica</v>
      </c>
      <c r="O91" t="str">
        <f t="shared" si="5"/>
        <v>Light</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f t="shared" si="3"/>
        <v>51.8</v>
      </c>
      <c r="N92" t="str">
        <f t="shared" si="4"/>
        <v>Arabica</v>
      </c>
      <c r="O92" t="str">
        <f t="shared" si="5"/>
        <v>Light</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f t="shared" si="3"/>
        <v>103.49999999999999</v>
      </c>
      <c r="N93" t="str">
        <f t="shared" si="4"/>
        <v>Arabica</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f t="shared" si="3"/>
        <v>44.55</v>
      </c>
      <c r="N94" t="str">
        <f t="shared" si="4"/>
        <v>Excelsa</v>
      </c>
      <c r="O94" t="str">
        <f t="shared" si="5"/>
        <v>Light</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f t="shared" si="3"/>
        <v>35.64</v>
      </c>
      <c r="N95" t="str">
        <f t="shared" si="4"/>
        <v>Excelsa</v>
      </c>
      <c r="O95" t="str">
        <f t="shared" si="5"/>
        <v>Light</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f t="shared" si="3"/>
        <v>17.91</v>
      </c>
      <c r="N96" t="str">
        <f t="shared" si="4"/>
        <v>Arabica</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f t="shared" si="3"/>
        <v>155.24999999999997</v>
      </c>
      <c r="N97" t="str">
        <f t="shared" si="4"/>
        <v>Arabica</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f t="shared" si="3"/>
        <v>5.97</v>
      </c>
      <c r="N98" t="str">
        <f t="shared" si="4"/>
        <v>Arabica</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f t="shared" si="3"/>
        <v>13.5</v>
      </c>
      <c r="N99" t="str">
        <f t="shared" si="4"/>
        <v>Arabica</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f t="shared" si="3"/>
        <v>2.9849999999999999</v>
      </c>
      <c r="N100" t="str">
        <f t="shared" si="4"/>
        <v>Arabica</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f t="shared" si="3"/>
        <v>13.095000000000001</v>
      </c>
      <c r="N101" t="str">
        <f t="shared" si="4"/>
        <v>Liberica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f t="shared" si="3"/>
        <v>7.77</v>
      </c>
      <c r="N102" t="str">
        <f t="shared" si="4"/>
        <v>Arabica</v>
      </c>
      <c r="O102" t="str">
        <f t="shared" si="5"/>
        <v>Light</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f t="shared" si="3"/>
        <v>148.92499999999998</v>
      </c>
      <c r="N103" t="str">
        <f t="shared" si="4"/>
        <v>Liberica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f t="shared" si="3"/>
        <v>38.849999999999994</v>
      </c>
      <c r="N104" t="str">
        <f t="shared" si="4"/>
        <v>Liberica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f t="shared" si="3"/>
        <v>87.300000000000011</v>
      </c>
      <c r="N106" t="str">
        <f t="shared" si="4"/>
        <v>Liberica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f t="shared" si="3"/>
        <v>40.5</v>
      </c>
      <c r="N107" t="str">
        <f t="shared" si="4"/>
        <v>Arabica</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f t="shared" si="3"/>
        <v>27</v>
      </c>
      <c r="N110" t="str">
        <f t="shared" si="4"/>
        <v>Arabica</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f t="shared" si="3"/>
        <v>7.77</v>
      </c>
      <c r="N111" t="str">
        <f t="shared" si="4"/>
        <v>Liberica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f t="shared" si="3"/>
        <v>13.365</v>
      </c>
      <c r="N112" t="str">
        <f t="shared" si="4"/>
        <v>Excelsa</v>
      </c>
      <c r="O112" t="str">
        <f t="shared" si="5"/>
        <v>Light</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f t="shared" si="3"/>
        <v>11.25</v>
      </c>
      <c r="N114" t="str">
        <f t="shared" si="4"/>
        <v>Arabica</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f t="shared" si="3"/>
        <v>14.55</v>
      </c>
      <c r="N115" t="str">
        <f t="shared" si="4"/>
        <v>Liberica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f t="shared" si="3"/>
        <v>14.339999999999998</v>
      </c>
      <c r="N116" t="str">
        <f t="shared" si="4"/>
        <v>Robusta</v>
      </c>
      <c r="O116" t="str">
        <f t="shared" si="5"/>
        <v>Light</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f t="shared" si="3"/>
        <v>15.85</v>
      </c>
      <c r="N117" t="str">
        <f t="shared" si="4"/>
        <v>Liberica</v>
      </c>
      <c r="O117" t="str">
        <f t="shared" si="5"/>
        <v>Light</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f t="shared" si="3"/>
        <v>19.02</v>
      </c>
      <c r="N118" t="str">
        <f t="shared" si="4"/>
        <v>Liberica</v>
      </c>
      <c r="O118" t="str">
        <f t="shared" si="5"/>
        <v>Light</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f t="shared" si="3"/>
        <v>38.04</v>
      </c>
      <c r="N119" t="str">
        <f t="shared" si="4"/>
        <v>Liberica</v>
      </c>
      <c r="O119" t="str">
        <f t="shared" si="5"/>
        <v>Light</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f t="shared" si="3"/>
        <v>3.8849999999999998</v>
      </c>
      <c r="N122" t="str">
        <f t="shared" si="4"/>
        <v>Arabica</v>
      </c>
      <c r="O122" t="str">
        <f t="shared" si="5"/>
        <v>Light</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f t="shared" si="3"/>
        <v>23.88</v>
      </c>
      <c r="N124" t="str">
        <f t="shared" si="4"/>
        <v>Arabica</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f t="shared" si="3"/>
        <v>145.82</v>
      </c>
      <c r="N125" t="str">
        <f t="shared" si="4"/>
        <v>Liberica</v>
      </c>
      <c r="O125" t="str">
        <f t="shared" si="5"/>
        <v>Light</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f t="shared" si="3"/>
        <v>21.825000000000003</v>
      </c>
      <c r="N126" t="str">
        <f t="shared" si="4"/>
        <v>Liberica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f t="shared" si="3"/>
        <v>26.19</v>
      </c>
      <c r="N127" t="str">
        <f t="shared" si="4"/>
        <v>Liberica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f t="shared" si="3"/>
        <v>11.25</v>
      </c>
      <c r="N128" t="str">
        <f t="shared" si="4"/>
        <v>Arabica</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f t="shared" si="3"/>
        <v>77.699999999999989</v>
      </c>
      <c r="N129" t="str">
        <f t="shared" si="4"/>
        <v>Liberica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f t="shared" si="3"/>
        <v>6.75</v>
      </c>
      <c r="N130" t="str">
        <f t="shared" si="4"/>
        <v>Arabica</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f t="shared" si="6"/>
        <v>148.92499999999998</v>
      </c>
      <c r="N132" t="str">
        <f t="shared" si="7"/>
        <v>Arabica</v>
      </c>
      <c r="O132" t="str">
        <f t="shared" si="8"/>
        <v>Light</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f t="shared" si="6"/>
        <v>148.92499999999998</v>
      </c>
      <c r="N134" t="str">
        <f t="shared" si="7"/>
        <v>Arabica</v>
      </c>
      <c r="O134" t="str">
        <f t="shared" si="8"/>
        <v>Light</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f t="shared" si="6"/>
        <v>12.95</v>
      </c>
      <c r="N135" t="str">
        <f t="shared" si="7"/>
        <v>Liberica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f t="shared" si="6"/>
        <v>38.849999999999994</v>
      </c>
      <c r="N137" t="str">
        <f t="shared" si="7"/>
        <v>Arabica</v>
      </c>
      <c r="O137" t="str">
        <f t="shared" si="8"/>
        <v>Light</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f t="shared" si="6"/>
        <v>11.94</v>
      </c>
      <c r="N138" t="str">
        <f t="shared" si="7"/>
        <v>Arabica</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f t="shared" si="6"/>
        <v>102.46499999999997</v>
      </c>
      <c r="N139" t="str">
        <f t="shared" si="7"/>
        <v>Excelsa</v>
      </c>
      <c r="O139" t="str">
        <f t="shared" si="8"/>
        <v>Light</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f t="shared" si="6"/>
        <v>77.699999999999989</v>
      </c>
      <c r="N141" t="str">
        <f t="shared" si="7"/>
        <v>Liberica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f t="shared" si="6"/>
        <v>29.784999999999997</v>
      </c>
      <c r="N142" t="str">
        <f t="shared" si="7"/>
        <v>Liberica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f t="shared" si="6"/>
        <v>15.54</v>
      </c>
      <c r="N143" t="str">
        <f t="shared" si="7"/>
        <v>Arabica</v>
      </c>
      <c r="O143" t="str">
        <f t="shared" si="8"/>
        <v>Light</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f t="shared" si="6"/>
        <v>136.61999999999998</v>
      </c>
      <c r="N144" t="str">
        <f t="shared" si="7"/>
        <v>Excelsa</v>
      </c>
      <c r="O144" t="str">
        <f t="shared" si="8"/>
        <v>Light</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f t="shared" si="6"/>
        <v>17.46</v>
      </c>
      <c r="N145" t="str">
        <f t="shared" si="7"/>
        <v>Liberica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f t="shared" si="6"/>
        <v>68.309999999999988</v>
      </c>
      <c r="N146" t="str">
        <f t="shared" si="7"/>
        <v>Excelsa</v>
      </c>
      <c r="O146" t="str">
        <f t="shared" si="8"/>
        <v>Light</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f t="shared" si="6"/>
        <v>17.46</v>
      </c>
      <c r="N147" t="str">
        <f t="shared" si="7"/>
        <v>Liberica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f t="shared" si="6"/>
        <v>43.650000000000006</v>
      </c>
      <c r="N148" t="str">
        <f t="shared" si="7"/>
        <v>Liberica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f t="shared" si="6"/>
        <v>51.749999999999993</v>
      </c>
      <c r="N151" t="str">
        <f t="shared" si="7"/>
        <v>Arabica</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f t="shared" si="6"/>
        <v>12.95</v>
      </c>
      <c r="N152" t="str">
        <f t="shared" si="7"/>
        <v>Liberica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f t="shared" si="6"/>
        <v>33.75</v>
      </c>
      <c r="N153" t="str">
        <f t="shared" si="7"/>
        <v>Arabica</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f t="shared" si="6"/>
        <v>114.42499999999998</v>
      </c>
      <c r="N156" t="str">
        <f t="shared" si="7"/>
        <v>Arabica</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f t="shared" si="6"/>
        <v>155.24999999999997</v>
      </c>
      <c r="N157" t="str">
        <f t="shared" si="7"/>
        <v>Arabica</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f t="shared" si="6"/>
        <v>77.624999999999986</v>
      </c>
      <c r="N158" t="str">
        <f t="shared" si="7"/>
        <v>Arabica</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f t="shared" si="6"/>
        <v>218.73</v>
      </c>
      <c r="N161" t="str">
        <f t="shared" si="7"/>
        <v>Liberica</v>
      </c>
      <c r="O161" t="str">
        <f t="shared" si="8"/>
        <v>Light</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f t="shared" si="6"/>
        <v>23.31</v>
      </c>
      <c r="N163" t="str">
        <f t="shared" si="7"/>
        <v>Arabica</v>
      </c>
      <c r="O163" t="str">
        <f t="shared" si="8"/>
        <v>Light</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f t="shared" si="6"/>
        <v>40.5</v>
      </c>
      <c r="N170" t="str">
        <f t="shared" si="7"/>
        <v>Arabica</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f t="shared" si="6"/>
        <v>68.309999999999988</v>
      </c>
      <c r="N172" t="str">
        <f t="shared" si="7"/>
        <v>Excelsa</v>
      </c>
      <c r="O172" t="str">
        <f t="shared" si="8"/>
        <v>Light</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f t="shared" si="6"/>
        <v>204.92999999999995</v>
      </c>
      <c r="N176" t="str">
        <f t="shared" si="7"/>
        <v>Excelsa</v>
      </c>
      <c r="O176" t="str">
        <f t="shared" si="8"/>
        <v>Light</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f t="shared" si="6"/>
        <v>34.154999999999994</v>
      </c>
      <c r="N178" t="str">
        <f t="shared" si="7"/>
        <v>Excelsa</v>
      </c>
      <c r="O178" t="str">
        <f t="shared" si="8"/>
        <v>Light</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f t="shared" si="6"/>
        <v>109.93999999999998</v>
      </c>
      <c r="N179" t="str">
        <f t="shared" si="7"/>
        <v>Robusta</v>
      </c>
      <c r="O179" t="str">
        <f t="shared" si="8"/>
        <v>Light</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f t="shared" si="6"/>
        <v>25.9</v>
      </c>
      <c r="N180" t="str">
        <f t="shared" si="7"/>
        <v>Arabica</v>
      </c>
      <c r="O180" t="str">
        <f t="shared" si="8"/>
        <v>Light</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f t="shared" si="6"/>
        <v>2.9849999999999999</v>
      </c>
      <c r="N181" t="str">
        <f t="shared" si="7"/>
        <v>Arabica</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f t="shared" si="6"/>
        <v>22.274999999999999</v>
      </c>
      <c r="N182" t="str">
        <f t="shared" si="7"/>
        <v>Excelsa</v>
      </c>
      <c r="O182" t="str">
        <f t="shared" si="8"/>
        <v>Light</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f t="shared" si="6"/>
        <v>29.849999999999998</v>
      </c>
      <c r="N183" t="str">
        <f t="shared" si="7"/>
        <v>Arabica</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f t="shared" si="6"/>
        <v>31.08</v>
      </c>
      <c r="N186" t="str">
        <f t="shared" si="7"/>
        <v>Arabica</v>
      </c>
      <c r="O186" t="str">
        <f t="shared" si="8"/>
        <v>Light</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f t="shared" si="6"/>
        <v>43.650000000000006</v>
      </c>
      <c r="N189" t="str">
        <f t="shared" si="7"/>
        <v>Liberica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f t="shared" si="6"/>
        <v>4.4550000000000001</v>
      </c>
      <c r="N190" t="str">
        <f t="shared" si="7"/>
        <v>Excelsa</v>
      </c>
      <c r="O190" t="str">
        <f t="shared" si="8"/>
        <v>Light</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f t="shared" si="6"/>
        <v>43.650000000000006</v>
      </c>
      <c r="N191" t="str">
        <f t="shared" si="7"/>
        <v>Liberica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f t="shared" si="6"/>
        <v>33.464999999999996</v>
      </c>
      <c r="N192" t="str">
        <f t="shared" si="7"/>
        <v>Liberica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f t="shared" si="6"/>
        <v>19.424999999999997</v>
      </c>
      <c r="N193" t="str">
        <f t="shared" si="7"/>
        <v>Liberica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f t="shared" si="9"/>
        <v>38.849999999999994</v>
      </c>
      <c r="N197" t="str">
        <f t="shared" si="10"/>
        <v>Arabica</v>
      </c>
      <c r="O197" t="str">
        <f t="shared" si="11"/>
        <v>Light</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f t="shared" si="9"/>
        <v>53.46</v>
      </c>
      <c r="N198" t="str">
        <f t="shared" si="10"/>
        <v>Excelsa</v>
      </c>
      <c r="O198" t="str">
        <f t="shared" si="11"/>
        <v>Light</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f t="shared" si="9"/>
        <v>59.569999999999993</v>
      </c>
      <c r="N199" t="str">
        <f t="shared" si="10"/>
        <v>Liberica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f t="shared" si="9"/>
        <v>89.35499999999999</v>
      </c>
      <c r="N200" t="str">
        <f t="shared" si="10"/>
        <v>Liberica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f t="shared" si="9"/>
        <v>38.04</v>
      </c>
      <c r="N201" t="str">
        <f t="shared" si="10"/>
        <v>Liberica</v>
      </c>
      <c r="O201" t="str">
        <f t="shared" si="11"/>
        <v>Light</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f t="shared" si="9"/>
        <v>57.06</v>
      </c>
      <c r="N203" t="str">
        <f t="shared" si="10"/>
        <v>Liberica</v>
      </c>
      <c r="O203" t="str">
        <f t="shared" si="11"/>
        <v>Light</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f t="shared" si="9"/>
        <v>178.70999999999998</v>
      </c>
      <c r="N204" t="str">
        <f t="shared" si="10"/>
        <v>Liberica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f t="shared" si="9"/>
        <v>4.7549999999999999</v>
      </c>
      <c r="N205" t="str">
        <f t="shared" si="10"/>
        <v>Liberica</v>
      </c>
      <c r="O205" t="str">
        <f t="shared" si="11"/>
        <v>Light</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f t="shared" si="9"/>
        <v>22.5</v>
      </c>
      <c r="N208" t="str">
        <f t="shared" si="10"/>
        <v>Arabica</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f t="shared" si="9"/>
        <v>40.5</v>
      </c>
      <c r="N209" t="str">
        <f t="shared" si="10"/>
        <v>Arabica</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f t="shared" si="9"/>
        <v>6.75</v>
      </c>
      <c r="N211" t="str">
        <f t="shared" si="10"/>
        <v>Arabica</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f t="shared" si="9"/>
        <v>51.8</v>
      </c>
      <c r="N212" t="str">
        <f t="shared" si="10"/>
        <v>Liberica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f t="shared" si="9"/>
        <v>53.46</v>
      </c>
      <c r="N213" t="str">
        <f t="shared" si="10"/>
        <v>Excelsa</v>
      </c>
      <c r="O213" t="str">
        <f t="shared" si="11"/>
        <v>Light</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f t="shared" si="9"/>
        <v>31.7</v>
      </c>
      <c r="N216" t="str">
        <f t="shared" si="10"/>
        <v>Liberica</v>
      </c>
      <c r="O216" t="str">
        <f t="shared" si="11"/>
        <v>Light</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f t="shared" si="9"/>
        <v>23.31</v>
      </c>
      <c r="N217" t="str">
        <f t="shared" si="10"/>
        <v>Liberica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f t="shared" si="9"/>
        <v>58.2</v>
      </c>
      <c r="N218" t="str">
        <f t="shared" si="10"/>
        <v>Liberica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f t="shared" si="9"/>
        <v>35.64</v>
      </c>
      <c r="N219" t="str">
        <f t="shared" si="10"/>
        <v>Excelsa</v>
      </c>
      <c r="O219" t="str">
        <f t="shared" si="11"/>
        <v>Light</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f t="shared" si="9"/>
        <v>56.25</v>
      </c>
      <c r="N220" t="str">
        <f t="shared" si="10"/>
        <v>Arabica</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f t="shared" si="9"/>
        <v>10.754999999999999</v>
      </c>
      <c r="N221" t="str">
        <f t="shared" si="10"/>
        <v>Robusta</v>
      </c>
      <c r="O221" t="str">
        <f t="shared" si="11"/>
        <v>Light</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f t="shared" si="9"/>
        <v>77.699999999999989</v>
      </c>
      <c r="N223" t="str">
        <f t="shared" si="10"/>
        <v>Arabica</v>
      </c>
      <c r="O223" t="str">
        <f t="shared" si="11"/>
        <v>Light</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f t="shared" si="9"/>
        <v>23.31</v>
      </c>
      <c r="N224" t="str">
        <f t="shared" si="10"/>
        <v>Liberica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f t="shared" si="9"/>
        <v>59.4</v>
      </c>
      <c r="N225" t="str">
        <f t="shared" si="10"/>
        <v>Excelsa</v>
      </c>
      <c r="O225" t="str">
        <f t="shared" si="11"/>
        <v>Light</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f t="shared" si="9"/>
        <v>119.13999999999999</v>
      </c>
      <c r="N226" t="str">
        <f t="shared" si="10"/>
        <v>Liberica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f t="shared" si="9"/>
        <v>14.339999999999998</v>
      </c>
      <c r="N227" t="str">
        <f t="shared" si="10"/>
        <v>Robusta</v>
      </c>
      <c r="O227" t="str">
        <f t="shared" si="11"/>
        <v>Light</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f t="shared" si="9"/>
        <v>129.37499999999997</v>
      </c>
      <c r="N228" t="str">
        <f t="shared" si="10"/>
        <v>Arabica</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f t="shared" si="9"/>
        <v>17.924999999999997</v>
      </c>
      <c r="N230" t="str">
        <f t="shared" si="10"/>
        <v>Robusta</v>
      </c>
      <c r="O230" t="str">
        <f t="shared" si="11"/>
        <v>Light</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f t="shared" si="9"/>
        <v>8.73</v>
      </c>
      <c r="N231" t="str">
        <f t="shared" si="10"/>
        <v>Liberica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f t="shared" si="9"/>
        <v>51.749999999999993</v>
      </c>
      <c r="N232" t="str">
        <f t="shared" si="10"/>
        <v>Arabica</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f t="shared" si="9"/>
        <v>8.73</v>
      </c>
      <c r="N233" t="str">
        <f t="shared" si="10"/>
        <v>Liberica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f t="shared" si="9"/>
        <v>23.774999999999999</v>
      </c>
      <c r="N234" t="str">
        <f t="shared" si="10"/>
        <v>Liberica</v>
      </c>
      <c r="O234" t="str">
        <f t="shared" si="11"/>
        <v>Light</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f t="shared" si="9"/>
        <v>36.454999999999998</v>
      </c>
      <c r="N236" t="str">
        <f t="shared" si="10"/>
        <v>Liberica</v>
      </c>
      <c r="O236" t="str">
        <f t="shared" si="11"/>
        <v>Light</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f t="shared" si="9"/>
        <v>182.27499999999998</v>
      </c>
      <c r="N237" t="str">
        <f t="shared" si="10"/>
        <v>Liberica</v>
      </c>
      <c r="O237" t="str">
        <f t="shared" si="11"/>
        <v>Light</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f t="shared" si="9"/>
        <v>89.35499999999999</v>
      </c>
      <c r="N238" t="str">
        <f t="shared" si="10"/>
        <v>Liberica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f t="shared" si="9"/>
        <v>3.5849999999999995</v>
      </c>
      <c r="N239" t="str">
        <f t="shared" si="10"/>
        <v>Robusta</v>
      </c>
      <c r="O239" t="str">
        <f t="shared" si="11"/>
        <v>Light</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f t="shared" si="9"/>
        <v>59.4</v>
      </c>
      <c r="N241" t="str">
        <f t="shared" si="10"/>
        <v>Excelsa</v>
      </c>
      <c r="O241" t="str">
        <f t="shared" si="11"/>
        <v>Light</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f t="shared" si="9"/>
        <v>155.24999999999997</v>
      </c>
      <c r="N242" t="str">
        <f t="shared" si="10"/>
        <v>Arabica</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f t="shared" si="9"/>
        <v>133.85999999999999</v>
      </c>
      <c r="N246" t="str">
        <f t="shared" si="10"/>
        <v>Liberica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f t="shared" si="9"/>
        <v>23.774999999999999</v>
      </c>
      <c r="N247" t="str">
        <f t="shared" si="10"/>
        <v>Liberica</v>
      </c>
      <c r="O247" t="str">
        <f t="shared" si="11"/>
        <v>Light</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f t="shared" si="9"/>
        <v>38.849999999999994</v>
      </c>
      <c r="N248" t="str">
        <f t="shared" si="10"/>
        <v>Liberica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f t="shared" si="9"/>
        <v>21.509999999999998</v>
      </c>
      <c r="N249" t="str">
        <f t="shared" si="10"/>
        <v>Robusta</v>
      </c>
      <c r="O249" t="str">
        <f t="shared" si="11"/>
        <v>Light</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f t="shared" si="9"/>
        <v>9.9499999999999993</v>
      </c>
      <c r="N250" t="str">
        <f t="shared" si="10"/>
        <v>Arabica</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f t="shared" si="9"/>
        <v>15.85</v>
      </c>
      <c r="N251" t="str">
        <f t="shared" si="10"/>
        <v>Liberica</v>
      </c>
      <c r="O251" t="str">
        <f t="shared" si="11"/>
        <v>Light</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f t="shared" si="9"/>
        <v>29.849999999999998</v>
      </c>
      <c r="N254" t="str">
        <f t="shared" si="10"/>
        <v>Arabica</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f t="shared" si="9"/>
        <v>58.2</v>
      </c>
      <c r="N255" t="str">
        <f t="shared" si="10"/>
        <v>Liberica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f t="shared" si="9"/>
        <v>28.679999999999996</v>
      </c>
      <c r="N256" t="str">
        <f t="shared" si="10"/>
        <v>Robusta</v>
      </c>
      <c r="O256" t="str">
        <f t="shared" si="11"/>
        <v>Light</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f t="shared" si="9"/>
        <v>21.509999999999998</v>
      </c>
      <c r="N257" t="str">
        <f t="shared" si="10"/>
        <v>Robusta</v>
      </c>
      <c r="O257" t="str">
        <f t="shared" si="11"/>
        <v>Light</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f t="shared" si="9"/>
        <v>17.46</v>
      </c>
      <c r="N258" t="str">
        <f t="shared" si="10"/>
        <v>Liberica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f t="shared" si="12"/>
        <v>27.484999999999996</v>
      </c>
      <c r="N262" t="str">
        <f t="shared" si="13"/>
        <v>Robusta</v>
      </c>
      <c r="O262" t="str">
        <f t="shared" si="14"/>
        <v>Light</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f t="shared" si="12"/>
        <v>59.75</v>
      </c>
      <c r="N263" t="str">
        <f t="shared" si="13"/>
        <v>Robusta</v>
      </c>
      <c r="O263" t="str">
        <f t="shared" si="14"/>
        <v>Light</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f t="shared" si="12"/>
        <v>133.85999999999999</v>
      </c>
      <c r="N265" t="str">
        <f t="shared" si="13"/>
        <v>Liberica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f t="shared" si="12"/>
        <v>59.75</v>
      </c>
      <c r="N266" t="str">
        <f t="shared" si="13"/>
        <v>Robusta</v>
      </c>
      <c r="O266" t="str">
        <f t="shared" si="14"/>
        <v>Light</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f t="shared" si="12"/>
        <v>5.97</v>
      </c>
      <c r="N267" t="str">
        <f t="shared" si="13"/>
        <v>Arabica</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f t="shared" si="12"/>
        <v>19.899999999999999</v>
      </c>
      <c r="N270" t="str">
        <f t="shared" si="13"/>
        <v>Arabica</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f t="shared" si="12"/>
        <v>5.97</v>
      </c>
      <c r="N271" t="str">
        <f t="shared" si="13"/>
        <v>Arabica</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f t="shared" si="12"/>
        <v>11.94</v>
      </c>
      <c r="N273" t="str">
        <f t="shared" si="13"/>
        <v>Arabica</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f t="shared" si="12"/>
        <v>71.699999999999989</v>
      </c>
      <c r="N274" t="str">
        <f t="shared" si="13"/>
        <v>Robusta</v>
      </c>
      <c r="O274" t="str">
        <f t="shared" si="14"/>
        <v>Light</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f t="shared" si="12"/>
        <v>7.77</v>
      </c>
      <c r="N275" t="str">
        <f t="shared" si="13"/>
        <v>Arabica</v>
      </c>
      <c r="O275" t="str">
        <f t="shared" si="14"/>
        <v>Light</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f t="shared" si="12"/>
        <v>25.874999999999996</v>
      </c>
      <c r="N276" t="str">
        <f t="shared" si="13"/>
        <v>Arabica</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f t="shared" si="12"/>
        <v>204.92999999999995</v>
      </c>
      <c r="N277" t="str">
        <f t="shared" si="13"/>
        <v>Excelsa</v>
      </c>
      <c r="O277" t="str">
        <f t="shared" si="14"/>
        <v>Light</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f t="shared" si="12"/>
        <v>109.93999999999998</v>
      </c>
      <c r="N278" t="str">
        <f t="shared" si="13"/>
        <v>Robusta</v>
      </c>
      <c r="O278" t="str">
        <f t="shared" si="14"/>
        <v>Light</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f t="shared" si="12"/>
        <v>89.1</v>
      </c>
      <c r="N279" t="str">
        <f t="shared" si="13"/>
        <v>Excelsa</v>
      </c>
      <c r="O279" t="str">
        <f t="shared" si="14"/>
        <v>Light</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f t="shared" si="12"/>
        <v>7.77</v>
      </c>
      <c r="N280" t="str">
        <f t="shared" si="13"/>
        <v>Arabica</v>
      </c>
      <c r="O280" t="str">
        <f t="shared" si="14"/>
        <v>Light</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f t="shared" si="12"/>
        <v>33.464999999999996</v>
      </c>
      <c r="N281" t="str">
        <f t="shared" si="13"/>
        <v>Liberica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f t="shared" si="12"/>
        <v>59.4</v>
      </c>
      <c r="N283" t="str">
        <f t="shared" si="13"/>
        <v>Excelsa</v>
      </c>
      <c r="O283" t="str">
        <f t="shared" si="14"/>
        <v>Light</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f t="shared" si="12"/>
        <v>7.77</v>
      </c>
      <c r="N284" t="str">
        <f t="shared" si="13"/>
        <v>Arabica</v>
      </c>
      <c r="O284" t="str">
        <f t="shared" si="14"/>
        <v>Light</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f t="shared" si="12"/>
        <v>36.454999999999998</v>
      </c>
      <c r="N287" t="str">
        <f t="shared" si="13"/>
        <v>Liberica</v>
      </c>
      <c r="O287" t="str">
        <f t="shared" si="14"/>
        <v>Light</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f t="shared" si="12"/>
        <v>13.5</v>
      </c>
      <c r="N288" t="str">
        <f t="shared" si="13"/>
        <v>Arabica</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f t="shared" si="12"/>
        <v>14.339999999999998</v>
      </c>
      <c r="N289" t="str">
        <f t="shared" si="13"/>
        <v>Robusta</v>
      </c>
      <c r="O289" t="str">
        <f t="shared" si="14"/>
        <v>Light</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f t="shared" si="12"/>
        <v>49.75</v>
      </c>
      <c r="N292" t="str">
        <f t="shared" si="13"/>
        <v>Arabica</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f t="shared" si="12"/>
        <v>17.91</v>
      </c>
      <c r="N294" t="str">
        <f t="shared" si="13"/>
        <v>Arabica</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f t="shared" si="12"/>
        <v>29.849999999999998</v>
      </c>
      <c r="N295" t="str">
        <f t="shared" si="13"/>
        <v>Arabica</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f t="shared" si="12"/>
        <v>44.55</v>
      </c>
      <c r="N296" t="str">
        <f t="shared" si="13"/>
        <v>Excelsa</v>
      </c>
      <c r="O296" t="str">
        <f t="shared" si="14"/>
        <v>Light</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f t="shared" si="12"/>
        <v>26.73</v>
      </c>
      <c r="N300" t="str">
        <f t="shared" si="13"/>
        <v>Excelsa</v>
      </c>
      <c r="O300" t="str">
        <f t="shared" si="14"/>
        <v>Light</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f t="shared" si="12"/>
        <v>204.92999999999995</v>
      </c>
      <c r="N301" t="str">
        <f t="shared" si="13"/>
        <v>Excelsa</v>
      </c>
      <c r="O301" t="str">
        <f t="shared" si="14"/>
        <v>Light</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f t="shared" si="12"/>
        <v>38.849999999999994</v>
      </c>
      <c r="N302" t="str">
        <f t="shared" si="13"/>
        <v>Arabica</v>
      </c>
      <c r="O302" t="str">
        <f t="shared" si="14"/>
        <v>Light</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f t="shared" si="12"/>
        <v>15.54</v>
      </c>
      <c r="N303" t="str">
        <f t="shared" si="13"/>
        <v>Liberica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f t="shared" si="12"/>
        <v>6.75</v>
      </c>
      <c r="N304" t="str">
        <f t="shared" si="13"/>
        <v>Arabica</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f t="shared" si="12"/>
        <v>3.8849999999999998</v>
      </c>
      <c r="N306" t="str">
        <f t="shared" si="13"/>
        <v>Arabica</v>
      </c>
      <c r="O306" t="str">
        <f t="shared" si="14"/>
        <v>Light</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f t="shared" si="12"/>
        <v>21.825000000000003</v>
      </c>
      <c r="N307" t="str">
        <f t="shared" si="13"/>
        <v>Liberica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f t="shared" si="12"/>
        <v>33.75</v>
      </c>
      <c r="N309" t="str">
        <f t="shared" si="13"/>
        <v>Arabica</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f t="shared" si="12"/>
        <v>33.75</v>
      </c>
      <c r="N310" t="str">
        <f t="shared" si="13"/>
        <v>Arabica</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f t="shared" si="12"/>
        <v>26.19</v>
      </c>
      <c r="N311" t="str">
        <f t="shared" si="13"/>
        <v>Liberica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f t="shared" si="12"/>
        <v>14.85</v>
      </c>
      <c r="N312" t="str">
        <f t="shared" si="13"/>
        <v>Excelsa</v>
      </c>
      <c r="O312" t="str">
        <f t="shared" si="14"/>
        <v>Light</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f t="shared" si="12"/>
        <v>34.154999999999994</v>
      </c>
      <c r="N317" t="str">
        <f t="shared" si="13"/>
        <v>Excelsa</v>
      </c>
      <c r="O317" t="str">
        <f t="shared" si="14"/>
        <v>Light</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f t="shared" si="12"/>
        <v>204.92999999999995</v>
      </c>
      <c r="N318" t="str">
        <f t="shared" si="13"/>
        <v>Excelsa</v>
      </c>
      <c r="O318" t="str">
        <f t="shared" si="14"/>
        <v>Light</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f t="shared" si="12"/>
        <v>51.749999999999993</v>
      </c>
      <c r="N320" t="str">
        <f t="shared" si="13"/>
        <v>Arabica</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f t="shared" si="12"/>
        <v>19.424999999999997</v>
      </c>
      <c r="N322" t="str">
        <f t="shared" si="13"/>
        <v>Arabica</v>
      </c>
      <c r="O322" t="str">
        <f t="shared" si="14"/>
        <v>Light</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f t="shared" si="15"/>
        <v>23.31</v>
      </c>
      <c r="N324" t="str">
        <f t="shared" si="16"/>
        <v>Liberica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f t="shared" si="15"/>
        <v>29.784999999999997</v>
      </c>
      <c r="N327" t="str">
        <f t="shared" si="16"/>
        <v>Arabica</v>
      </c>
      <c r="O327" t="str">
        <f t="shared" si="17"/>
        <v>Light</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f t="shared" si="15"/>
        <v>38.04</v>
      </c>
      <c r="N330" t="str">
        <f t="shared" si="16"/>
        <v>Liberica</v>
      </c>
      <c r="O330" t="str">
        <f t="shared" si="17"/>
        <v>Light</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f t="shared" si="15"/>
        <v>17.91</v>
      </c>
      <c r="N334" t="str">
        <f t="shared" si="16"/>
        <v>Arabica</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f t="shared" si="15"/>
        <v>59.75</v>
      </c>
      <c r="N336" t="str">
        <f t="shared" si="16"/>
        <v>Robusta</v>
      </c>
      <c r="O336" t="str">
        <f t="shared" si="17"/>
        <v>Light</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f t="shared" si="15"/>
        <v>28.53</v>
      </c>
      <c r="N337" t="str">
        <f t="shared" si="16"/>
        <v>Liberica</v>
      </c>
      <c r="O337" t="str">
        <f t="shared" si="17"/>
        <v>Light</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f t="shared" si="15"/>
        <v>45</v>
      </c>
      <c r="N338" t="str">
        <f t="shared" si="16"/>
        <v>Arabica</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f t="shared" si="15"/>
        <v>59.4</v>
      </c>
      <c r="N340" t="str">
        <f t="shared" si="16"/>
        <v>Excelsa</v>
      </c>
      <c r="O340" t="str">
        <f t="shared" si="17"/>
        <v>Light</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f t="shared" si="15"/>
        <v>17.82</v>
      </c>
      <c r="N343" t="str">
        <f t="shared" si="16"/>
        <v>Excelsa</v>
      </c>
      <c r="O343" t="str">
        <f t="shared" si="17"/>
        <v>Light</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f t="shared" si="15"/>
        <v>38.849999999999994</v>
      </c>
      <c r="N344" t="str">
        <f t="shared" si="16"/>
        <v>Liberica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f t="shared" si="15"/>
        <v>59.75</v>
      </c>
      <c r="N347" t="str">
        <f t="shared" si="16"/>
        <v>Robusta</v>
      </c>
      <c r="O347" t="str">
        <f t="shared" si="17"/>
        <v>Light</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f t="shared" si="15"/>
        <v>23.31</v>
      </c>
      <c r="N348" t="str">
        <f t="shared" si="16"/>
        <v>Arabica</v>
      </c>
      <c r="O348" t="str">
        <f t="shared" si="17"/>
        <v>Light</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f t="shared" si="15"/>
        <v>43.650000000000006</v>
      </c>
      <c r="N349" t="str">
        <f t="shared" si="16"/>
        <v>Liberica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f t="shared" si="15"/>
        <v>204.92999999999995</v>
      </c>
      <c r="N350" t="str">
        <f t="shared" si="16"/>
        <v>Excelsa</v>
      </c>
      <c r="O350" t="str">
        <f t="shared" si="17"/>
        <v>Light</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f t="shared" si="15"/>
        <v>14.339999999999998</v>
      </c>
      <c r="N351" t="str">
        <f t="shared" si="16"/>
        <v>Robusta</v>
      </c>
      <c r="O351" t="str">
        <f t="shared" si="17"/>
        <v>Light</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f t="shared" si="15"/>
        <v>23.88</v>
      </c>
      <c r="N352" t="str">
        <f t="shared" si="16"/>
        <v>Arabica</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f t="shared" si="15"/>
        <v>22.5</v>
      </c>
      <c r="N353" t="str">
        <f t="shared" si="16"/>
        <v>Arabica</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f t="shared" si="15"/>
        <v>27</v>
      </c>
      <c r="N355" t="str">
        <f t="shared" si="16"/>
        <v>Arabica</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f t="shared" si="15"/>
        <v>155.24999999999997</v>
      </c>
      <c r="N356" t="str">
        <f t="shared" si="16"/>
        <v>Arabica</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f t="shared" si="15"/>
        <v>114.42499999999998</v>
      </c>
      <c r="N357" t="str">
        <f t="shared" si="16"/>
        <v>Arabica</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f t="shared" si="15"/>
        <v>51.8</v>
      </c>
      <c r="N358" t="str">
        <f t="shared" si="16"/>
        <v>Liberica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f t="shared" si="15"/>
        <v>155.24999999999997</v>
      </c>
      <c r="N359" t="str">
        <f t="shared" si="16"/>
        <v>Arabica</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f t="shared" si="15"/>
        <v>29.784999999999997</v>
      </c>
      <c r="N360" t="str">
        <f t="shared" si="16"/>
        <v>Arabica</v>
      </c>
      <c r="O360" t="str">
        <f t="shared" si="17"/>
        <v>Light</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f t="shared" si="15"/>
        <v>21.509999999999998</v>
      </c>
      <c r="N361" t="str">
        <f t="shared" si="16"/>
        <v>Robusta</v>
      </c>
      <c r="O361" t="str">
        <f t="shared" si="17"/>
        <v>Light</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f t="shared" si="15"/>
        <v>74.25</v>
      </c>
      <c r="N364" t="str">
        <f t="shared" si="16"/>
        <v>Excelsa</v>
      </c>
      <c r="O364" t="str">
        <f t="shared" si="17"/>
        <v>Light</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f t="shared" si="15"/>
        <v>87.300000000000011</v>
      </c>
      <c r="N365" t="str">
        <f t="shared" si="16"/>
        <v>Liberica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f t="shared" si="15"/>
        <v>7.77</v>
      </c>
      <c r="N367" t="str">
        <f t="shared" si="16"/>
        <v>Liberica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f t="shared" si="15"/>
        <v>8.73</v>
      </c>
      <c r="N369" t="str">
        <f t="shared" si="16"/>
        <v>Liberica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f t="shared" si="15"/>
        <v>8.91</v>
      </c>
      <c r="N371" t="str">
        <f t="shared" si="16"/>
        <v>Excelsa</v>
      </c>
      <c r="O371" t="str">
        <f t="shared" si="17"/>
        <v>Light</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f t="shared" si="15"/>
        <v>46.62</v>
      </c>
      <c r="N373" t="str">
        <f t="shared" si="16"/>
        <v>Arabica</v>
      </c>
      <c r="O373" t="str">
        <f t="shared" si="17"/>
        <v>Light</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f t="shared" si="15"/>
        <v>43.019999999999996</v>
      </c>
      <c r="N374" t="str">
        <f t="shared" si="16"/>
        <v>Robusta</v>
      </c>
      <c r="O374" t="str">
        <f t="shared" si="17"/>
        <v>Light</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f t="shared" si="15"/>
        <v>17.91</v>
      </c>
      <c r="N375" t="str">
        <f t="shared" si="16"/>
        <v>Arabica</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f t="shared" si="15"/>
        <v>38.04</v>
      </c>
      <c r="N376" t="str">
        <f t="shared" si="16"/>
        <v>Liberica</v>
      </c>
      <c r="O376" t="str">
        <f t="shared" si="17"/>
        <v>Light</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f t="shared" si="15"/>
        <v>6.75</v>
      </c>
      <c r="N377" t="str">
        <f t="shared" si="16"/>
        <v>Arabica</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f t="shared" si="15"/>
        <v>23.31</v>
      </c>
      <c r="N380" t="str">
        <f t="shared" si="16"/>
        <v>Arabica</v>
      </c>
      <c r="O380" t="str">
        <f t="shared" si="17"/>
        <v>Light</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f t="shared" si="15"/>
        <v>43.019999999999996</v>
      </c>
      <c r="N381" t="str">
        <f t="shared" si="16"/>
        <v>Robusta</v>
      </c>
      <c r="O381" t="str">
        <f t="shared" si="17"/>
        <v>Light</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f t="shared" si="15"/>
        <v>23.31</v>
      </c>
      <c r="N382" t="str">
        <f t="shared" si="16"/>
        <v>Liberica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f t="shared" si="15"/>
        <v>14.924999999999999</v>
      </c>
      <c r="N383" t="str">
        <f t="shared" si="16"/>
        <v>Arabica</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f t="shared" si="15"/>
        <v>53.46</v>
      </c>
      <c r="N385" t="str">
        <f t="shared" si="16"/>
        <v>Excelsa</v>
      </c>
      <c r="O385" t="str">
        <f t="shared" si="17"/>
        <v>Light</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f t="shared" si="15"/>
        <v>119.13999999999999</v>
      </c>
      <c r="N386" t="str">
        <f t="shared" si="16"/>
        <v>Arabica</v>
      </c>
      <c r="O386" t="str">
        <f t="shared" si="17"/>
        <v>Light</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f t="shared" si="18"/>
        <v>17.91</v>
      </c>
      <c r="N388" t="str">
        <f t="shared" si="19"/>
        <v>Arabica</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f t="shared" si="18"/>
        <v>74.25</v>
      </c>
      <c r="N389" t="str">
        <f t="shared" si="19"/>
        <v>Excelsa</v>
      </c>
      <c r="O389" t="str">
        <f t="shared" si="20"/>
        <v>Light</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f t="shared" si="18"/>
        <v>11.654999999999999</v>
      </c>
      <c r="N390" t="str">
        <f t="shared" si="19"/>
        <v>Liberica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f t="shared" si="18"/>
        <v>23.31</v>
      </c>
      <c r="N391" t="str">
        <f t="shared" si="19"/>
        <v>Liberica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f t="shared" si="18"/>
        <v>13.5</v>
      </c>
      <c r="N393" t="str">
        <f t="shared" si="19"/>
        <v>Arabica</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f t="shared" si="18"/>
        <v>89.1</v>
      </c>
      <c r="N394" t="str">
        <f t="shared" si="19"/>
        <v>Excelsa</v>
      </c>
      <c r="O394" t="str">
        <f t="shared" si="20"/>
        <v>Light</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f t="shared" si="18"/>
        <v>3.8849999999999998</v>
      </c>
      <c r="N395" t="str">
        <f t="shared" si="19"/>
        <v>Arabica</v>
      </c>
      <c r="O395" t="str">
        <f t="shared" si="20"/>
        <v>Light</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f t="shared" si="18"/>
        <v>109.93999999999998</v>
      </c>
      <c r="N396" t="str">
        <f t="shared" si="19"/>
        <v>Robusta</v>
      </c>
      <c r="O396" t="str">
        <f t="shared" si="20"/>
        <v>Light</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f t="shared" si="18"/>
        <v>46.62</v>
      </c>
      <c r="N397" t="str">
        <f t="shared" si="19"/>
        <v>Liberica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f t="shared" si="18"/>
        <v>38.849999999999994</v>
      </c>
      <c r="N398" t="str">
        <f t="shared" si="19"/>
        <v>Arabica</v>
      </c>
      <c r="O398" t="str">
        <f t="shared" si="20"/>
        <v>Light</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f t="shared" si="18"/>
        <v>31.08</v>
      </c>
      <c r="N399" t="str">
        <f t="shared" si="19"/>
        <v>Liberica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f t="shared" si="18"/>
        <v>17.91</v>
      </c>
      <c r="N400" t="str">
        <f t="shared" si="19"/>
        <v>Arabica</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f t="shared" si="18"/>
        <v>63.4</v>
      </c>
      <c r="N402" t="str">
        <f t="shared" si="19"/>
        <v>Liberica</v>
      </c>
      <c r="O402" t="str">
        <f t="shared" si="20"/>
        <v>Light</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f t="shared" si="18"/>
        <v>8.73</v>
      </c>
      <c r="N403" t="str">
        <f t="shared" si="19"/>
        <v>Liberica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f t="shared" si="18"/>
        <v>9.51</v>
      </c>
      <c r="N405" t="str">
        <f t="shared" si="19"/>
        <v>Liberica</v>
      </c>
      <c r="O405" t="str">
        <f t="shared" si="20"/>
        <v>Light</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f t="shared" si="18"/>
        <v>39.799999999999997</v>
      </c>
      <c r="N406" t="str">
        <f t="shared" si="19"/>
        <v>Arabica</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f t="shared" si="18"/>
        <v>51.749999999999993</v>
      </c>
      <c r="N410" t="str">
        <f t="shared" si="19"/>
        <v>Arabica</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f t="shared" si="18"/>
        <v>47.55</v>
      </c>
      <c r="N411" t="str">
        <f t="shared" si="19"/>
        <v>Liberica</v>
      </c>
      <c r="O411" t="str">
        <f t="shared" si="20"/>
        <v>Light</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f t="shared" si="18"/>
        <v>15.54</v>
      </c>
      <c r="N412" t="str">
        <f t="shared" si="19"/>
        <v>Arabica</v>
      </c>
      <c r="O412" t="str">
        <f t="shared" si="20"/>
        <v>Light</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f t="shared" si="18"/>
        <v>87.300000000000011</v>
      </c>
      <c r="N413" t="str">
        <f t="shared" si="19"/>
        <v>Liberica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f t="shared" si="18"/>
        <v>56.25</v>
      </c>
      <c r="N414" t="str">
        <f t="shared" si="19"/>
        <v>Arabica</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f t="shared" si="18"/>
        <v>36.454999999999998</v>
      </c>
      <c r="N415" t="str">
        <f t="shared" si="19"/>
        <v>Liberica</v>
      </c>
      <c r="O415" t="str">
        <f t="shared" si="20"/>
        <v>Light</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f t="shared" si="18"/>
        <v>10.754999999999999</v>
      </c>
      <c r="N416" t="str">
        <f t="shared" si="19"/>
        <v>Robusta</v>
      </c>
      <c r="O416" t="str">
        <f t="shared" si="20"/>
        <v>Light</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f t="shared" si="18"/>
        <v>23.31</v>
      </c>
      <c r="N418" t="str">
        <f t="shared" si="19"/>
        <v>Arabica</v>
      </c>
      <c r="O418" t="str">
        <f t="shared" si="20"/>
        <v>Light</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f t="shared" si="18"/>
        <v>29.784999999999997</v>
      </c>
      <c r="N419" t="str">
        <f t="shared" si="19"/>
        <v>Arabica</v>
      </c>
      <c r="O419" t="str">
        <f t="shared" si="20"/>
        <v>Light</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f t="shared" si="18"/>
        <v>148.92499999999998</v>
      </c>
      <c r="N420" t="str">
        <f t="shared" si="19"/>
        <v>Arabica</v>
      </c>
      <c r="O420" t="str">
        <f t="shared" si="20"/>
        <v>Light</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f t="shared" si="18"/>
        <v>8.73</v>
      </c>
      <c r="N421" t="str">
        <f t="shared" si="19"/>
        <v>Liberica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f t="shared" si="18"/>
        <v>31.08</v>
      </c>
      <c r="N422" t="str">
        <f t="shared" si="19"/>
        <v>Liberica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f t="shared" si="18"/>
        <v>137.31</v>
      </c>
      <c r="N423" t="str">
        <f t="shared" si="19"/>
        <v>Arabica</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f t="shared" si="18"/>
        <v>29.849999999999998</v>
      </c>
      <c r="N424" t="str">
        <f t="shared" si="19"/>
        <v>Arabica</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f t="shared" si="18"/>
        <v>26.73</v>
      </c>
      <c r="N426" t="str">
        <f t="shared" si="19"/>
        <v>Excelsa</v>
      </c>
      <c r="O426" t="str">
        <f t="shared" si="20"/>
        <v>Light</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f t="shared" si="18"/>
        <v>14.339999999999998</v>
      </c>
      <c r="N428" t="str">
        <f t="shared" si="19"/>
        <v>Robusta</v>
      </c>
      <c r="O428" t="str">
        <f t="shared" si="20"/>
        <v>Light</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f t="shared" si="18"/>
        <v>77.624999999999986</v>
      </c>
      <c r="N429" t="str">
        <f t="shared" si="19"/>
        <v>Arabica</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f t="shared" si="18"/>
        <v>59.75</v>
      </c>
      <c r="N430" t="str">
        <f t="shared" si="19"/>
        <v>Robusta</v>
      </c>
      <c r="O430" t="str">
        <f t="shared" si="20"/>
        <v>Light</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f t="shared" si="18"/>
        <v>77.699999999999989</v>
      </c>
      <c r="N431" t="str">
        <f t="shared" si="19"/>
        <v>Arabica</v>
      </c>
      <c r="O431" t="str">
        <f t="shared" si="20"/>
        <v>Light</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f t="shared" si="18"/>
        <v>22.5</v>
      </c>
      <c r="N434" t="str">
        <f t="shared" si="19"/>
        <v>Arabica</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f t="shared" si="18"/>
        <v>200.78999999999996</v>
      </c>
      <c r="N435" t="str">
        <f t="shared" si="19"/>
        <v>Liberica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f t="shared" si="18"/>
        <v>67.5</v>
      </c>
      <c r="N436" t="str">
        <f t="shared" si="19"/>
        <v>Arabica</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f t="shared" si="18"/>
        <v>9.51</v>
      </c>
      <c r="N438" t="str">
        <f t="shared" si="19"/>
        <v>Liberica</v>
      </c>
      <c r="O438" t="str">
        <f t="shared" si="20"/>
        <v>Light</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f t="shared" si="18"/>
        <v>29.784999999999997</v>
      </c>
      <c r="N439" t="str">
        <f t="shared" si="19"/>
        <v>Liberica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f t="shared" si="18"/>
        <v>15.54</v>
      </c>
      <c r="N440" t="str">
        <f t="shared" si="19"/>
        <v>Liberica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f t="shared" si="18"/>
        <v>35.64</v>
      </c>
      <c r="N441" t="str">
        <f t="shared" si="19"/>
        <v>Excelsa</v>
      </c>
      <c r="O441" t="str">
        <f t="shared" si="20"/>
        <v>Light</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f t="shared" si="18"/>
        <v>103.49999999999999</v>
      </c>
      <c r="N442" t="str">
        <f t="shared" si="19"/>
        <v>Arabica</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f t="shared" si="18"/>
        <v>35.849999999999994</v>
      </c>
      <c r="N444" t="str">
        <f t="shared" si="19"/>
        <v>Robusta</v>
      </c>
      <c r="O444" t="str">
        <f t="shared" si="20"/>
        <v>Light</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f t="shared" si="18"/>
        <v>22.274999999999999</v>
      </c>
      <c r="N445" t="str">
        <f t="shared" si="19"/>
        <v>Excelsa</v>
      </c>
      <c r="O445" t="str">
        <f t="shared" si="20"/>
        <v>Light</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f t="shared" si="18"/>
        <v>66.929999999999993</v>
      </c>
      <c r="N447" t="str">
        <f t="shared" si="19"/>
        <v>Liberica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f t="shared" si="18"/>
        <v>8.73</v>
      </c>
      <c r="N448" t="str">
        <f t="shared" si="19"/>
        <v>Liberica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f t="shared" si="18"/>
        <v>7.169999999999999</v>
      </c>
      <c r="N450" t="str">
        <f t="shared" si="19"/>
        <v>Robusta</v>
      </c>
      <c r="O450" t="str">
        <f t="shared" si="20"/>
        <v>Light</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f t="shared" si="21"/>
        <v>23.774999999999999</v>
      </c>
      <c r="N452" t="str">
        <f t="shared" si="22"/>
        <v>Liberica</v>
      </c>
      <c r="O452" t="str">
        <f t="shared" si="23"/>
        <v>Light</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f t="shared" si="21"/>
        <v>11.654999999999999</v>
      </c>
      <c r="N454" t="str">
        <f t="shared" si="22"/>
        <v>Arabica</v>
      </c>
      <c r="O454" t="str">
        <f t="shared" si="23"/>
        <v>Light</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f t="shared" si="21"/>
        <v>38.04</v>
      </c>
      <c r="N455" t="str">
        <f t="shared" si="22"/>
        <v>Liberica</v>
      </c>
      <c r="O455" t="str">
        <f t="shared" si="23"/>
        <v>Light</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f t="shared" si="21"/>
        <v>9.51</v>
      </c>
      <c r="N457" t="str">
        <f t="shared" si="22"/>
        <v>Liberica</v>
      </c>
      <c r="O457" t="str">
        <f t="shared" si="23"/>
        <v>Light</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f t="shared" si="21"/>
        <v>47.55</v>
      </c>
      <c r="N459" t="str">
        <f t="shared" si="22"/>
        <v>Liberica</v>
      </c>
      <c r="O459" t="str">
        <f t="shared" si="23"/>
        <v>Light</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f t="shared" si="21"/>
        <v>45</v>
      </c>
      <c r="N460" t="str">
        <f t="shared" si="22"/>
        <v>Arabica</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f t="shared" si="21"/>
        <v>23.774999999999999</v>
      </c>
      <c r="N461" t="str">
        <f t="shared" si="22"/>
        <v>Liberica</v>
      </c>
      <c r="O461" t="str">
        <f t="shared" si="23"/>
        <v>Light</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f t="shared" si="21"/>
        <v>49.75</v>
      </c>
      <c r="N464" t="str">
        <f t="shared" si="22"/>
        <v>Arabica</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f t="shared" si="21"/>
        <v>119.13999999999999</v>
      </c>
      <c r="N466" t="str">
        <f t="shared" si="22"/>
        <v>Liberica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f t="shared" si="21"/>
        <v>8.9550000000000001</v>
      </c>
      <c r="N468" t="str">
        <f t="shared" si="22"/>
        <v>Arabica</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f t="shared" si="21"/>
        <v>5.97</v>
      </c>
      <c r="N469" t="str">
        <f t="shared" si="22"/>
        <v>Arabica</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f t="shared" si="21"/>
        <v>22.274999999999999</v>
      </c>
      <c r="N471" t="str">
        <f t="shared" si="22"/>
        <v>Excelsa</v>
      </c>
      <c r="O471" t="str">
        <f t="shared" si="23"/>
        <v>Light</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f t="shared" si="21"/>
        <v>6.75</v>
      </c>
      <c r="N472" t="str">
        <f t="shared" si="22"/>
        <v>Arabica</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f t="shared" si="21"/>
        <v>133.85999999999999</v>
      </c>
      <c r="N473" t="str">
        <f t="shared" si="22"/>
        <v>Liberica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f t="shared" si="21"/>
        <v>5.97</v>
      </c>
      <c r="N474" t="str">
        <f t="shared" si="22"/>
        <v>Arabica</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f t="shared" si="21"/>
        <v>25.9</v>
      </c>
      <c r="N475" t="str">
        <f t="shared" si="22"/>
        <v>Arabica</v>
      </c>
      <c r="O475" t="str">
        <f t="shared" si="23"/>
        <v>Light</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f t="shared" si="21"/>
        <v>8.73</v>
      </c>
      <c r="N477" t="str">
        <f t="shared" si="22"/>
        <v>Liberica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f t="shared" si="21"/>
        <v>26.73</v>
      </c>
      <c r="N478" t="str">
        <f t="shared" si="22"/>
        <v>Excelsa</v>
      </c>
      <c r="O478" t="str">
        <f t="shared" si="23"/>
        <v>Light</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f t="shared" si="21"/>
        <v>26.19</v>
      </c>
      <c r="N479" t="str">
        <f t="shared" si="22"/>
        <v>Liberica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f t="shared" si="21"/>
        <v>23.9</v>
      </c>
      <c r="N483" t="str">
        <f t="shared" si="22"/>
        <v>Robusta</v>
      </c>
      <c r="O483" t="str">
        <f t="shared" si="23"/>
        <v>Light</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f t="shared" si="21"/>
        <v>59.569999999999993</v>
      </c>
      <c r="N485" t="str">
        <f t="shared" si="22"/>
        <v>Liberica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f t="shared" si="21"/>
        <v>57.06</v>
      </c>
      <c r="N486" t="str">
        <f t="shared" si="22"/>
        <v>Liberica</v>
      </c>
      <c r="O486" t="str">
        <f t="shared" si="23"/>
        <v>Light</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f t="shared" si="21"/>
        <v>21.509999999999998</v>
      </c>
      <c r="N487" t="str">
        <f t="shared" si="22"/>
        <v>Robusta</v>
      </c>
      <c r="O487" t="str">
        <f t="shared" si="23"/>
        <v>Light</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f t="shared" si="21"/>
        <v>52.38</v>
      </c>
      <c r="N488" t="str">
        <f t="shared" si="22"/>
        <v>Liberica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f t="shared" si="21"/>
        <v>95.1</v>
      </c>
      <c r="N491" t="str">
        <f t="shared" si="22"/>
        <v>Liberica</v>
      </c>
      <c r="O491" t="str">
        <f t="shared" si="23"/>
        <v>Light</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f t="shared" si="21"/>
        <v>15.54</v>
      </c>
      <c r="N492" t="str">
        <f t="shared" si="22"/>
        <v>Liberica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f t="shared" si="21"/>
        <v>23.31</v>
      </c>
      <c r="N493" t="str">
        <f t="shared" si="22"/>
        <v>Liberica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f t="shared" si="21"/>
        <v>31.7</v>
      </c>
      <c r="N496" t="str">
        <f t="shared" si="22"/>
        <v>Liberica</v>
      </c>
      <c r="O496" t="str">
        <f t="shared" si="23"/>
        <v>Light</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f t="shared" si="21"/>
        <v>79.25</v>
      </c>
      <c r="N497" t="str">
        <f t="shared" si="22"/>
        <v>Liberica</v>
      </c>
      <c r="O497" t="str">
        <f t="shared" si="23"/>
        <v>Light</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f t="shared" si="21"/>
        <v>39.799999999999997</v>
      </c>
      <c r="N499" t="str">
        <f t="shared" si="22"/>
        <v>Arabica</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f t="shared" si="21"/>
        <v>47.8</v>
      </c>
      <c r="N502" t="str">
        <f t="shared" si="22"/>
        <v>Robusta</v>
      </c>
      <c r="O502" t="str">
        <f t="shared" si="23"/>
        <v>Light</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f t="shared" si="21"/>
        <v>51.8</v>
      </c>
      <c r="N505" t="str">
        <f t="shared" si="22"/>
        <v>Liberica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f t="shared" si="21"/>
        <v>14.265000000000001</v>
      </c>
      <c r="N506" t="str">
        <f t="shared" si="22"/>
        <v>Liberica</v>
      </c>
      <c r="O506" t="str">
        <f t="shared" si="23"/>
        <v>Light</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f t="shared" si="21"/>
        <v>26.19</v>
      </c>
      <c r="N507" t="str">
        <f t="shared" si="22"/>
        <v>Liberica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f t="shared" si="21"/>
        <v>25.9</v>
      </c>
      <c r="N508" t="str">
        <f t="shared" si="22"/>
        <v>Arabica</v>
      </c>
      <c r="O508" t="str">
        <f t="shared" si="23"/>
        <v>Light</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f t="shared" si="21"/>
        <v>89.35499999999999</v>
      </c>
      <c r="N509" t="str">
        <f t="shared" si="22"/>
        <v>Arabica</v>
      </c>
      <c r="O509" t="str">
        <f t="shared" si="23"/>
        <v>Light</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f t="shared" si="21"/>
        <v>46.62</v>
      </c>
      <c r="N510" t="str">
        <f t="shared" si="22"/>
        <v>Liberica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f t="shared" si="21"/>
        <v>29.849999999999998</v>
      </c>
      <c r="N511" t="str">
        <f t="shared" si="22"/>
        <v>Arabica</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f t="shared" si="21"/>
        <v>10.754999999999999</v>
      </c>
      <c r="N512" t="str">
        <f t="shared" si="22"/>
        <v>Robusta</v>
      </c>
      <c r="O512" t="str">
        <f t="shared" si="23"/>
        <v>Light</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f t="shared" si="21"/>
        <v>13.5</v>
      </c>
      <c r="N513" t="str">
        <f t="shared" si="22"/>
        <v>Arabica</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f t="shared" si="21"/>
        <v>47.55</v>
      </c>
      <c r="N514" t="str">
        <f t="shared" si="22"/>
        <v>Liberica</v>
      </c>
      <c r="O514" t="str">
        <f t="shared" si="23"/>
        <v>Light</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f t="shared" si="24"/>
        <v>26.19</v>
      </c>
      <c r="N516" t="str">
        <f t="shared" si="25"/>
        <v>Liberica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f t="shared" si="24"/>
        <v>21.509999999999998</v>
      </c>
      <c r="N517" t="str">
        <f t="shared" si="25"/>
        <v>Robusta</v>
      </c>
      <c r="O517" t="str">
        <f t="shared" si="26"/>
        <v>Light</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f t="shared" si="24"/>
        <v>7.77</v>
      </c>
      <c r="N519" t="str">
        <f t="shared" si="25"/>
        <v>Liberica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f t="shared" si="24"/>
        <v>11.94</v>
      </c>
      <c r="N521" t="str">
        <f t="shared" si="25"/>
        <v>Arabica</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f t="shared" si="24"/>
        <v>3.8849999999999998</v>
      </c>
      <c r="N522" t="str">
        <f t="shared" si="25"/>
        <v>Liberica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f t="shared" si="24"/>
        <v>29.784999999999997</v>
      </c>
      <c r="N525" t="str">
        <f t="shared" si="25"/>
        <v>Liberica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f t="shared" si="24"/>
        <v>72.91</v>
      </c>
      <c r="N526" t="str">
        <f t="shared" si="25"/>
        <v>Liberica</v>
      </c>
      <c r="O526" t="str">
        <f t="shared" si="26"/>
        <v>Light</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f t="shared" si="24"/>
        <v>53.46</v>
      </c>
      <c r="N530" t="str">
        <f t="shared" si="25"/>
        <v>Excelsa</v>
      </c>
      <c r="O530" t="str">
        <f t="shared" si="26"/>
        <v>Light</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f t="shared" si="24"/>
        <v>9.51</v>
      </c>
      <c r="N537" t="str">
        <f t="shared" si="25"/>
        <v>Liberica</v>
      </c>
      <c r="O537" t="str">
        <f t="shared" si="26"/>
        <v>Light</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f t="shared" si="24"/>
        <v>63.4</v>
      </c>
      <c r="N542" t="str">
        <f t="shared" si="25"/>
        <v>Liberica</v>
      </c>
      <c r="O542" t="str">
        <f t="shared" si="26"/>
        <v>Light</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f t="shared" si="24"/>
        <v>22.884999999999998</v>
      </c>
      <c r="N543" t="str">
        <f t="shared" si="25"/>
        <v>Arabica</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f t="shared" si="24"/>
        <v>103.49999999999999</v>
      </c>
      <c r="N544" t="str">
        <f t="shared" si="25"/>
        <v>Arabica</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f t="shared" si="24"/>
        <v>54.969999999999992</v>
      </c>
      <c r="N545" t="str">
        <f t="shared" si="25"/>
        <v>Robusta</v>
      </c>
      <c r="O545" t="str">
        <f t="shared" si="26"/>
        <v>Light</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f t="shared" si="24"/>
        <v>15.54</v>
      </c>
      <c r="N546" t="str">
        <f t="shared" si="25"/>
        <v>Arabica</v>
      </c>
      <c r="O546" t="str">
        <f t="shared" si="26"/>
        <v>Light</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f t="shared" si="24"/>
        <v>15.54</v>
      </c>
      <c r="N547" t="str">
        <f t="shared" si="25"/>
        <v>Liberica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f t="shared" si="24"/>
        <v>10.754999999999999</v>
      </c>
      <c r="N549" t="str">
        <f t="shared" si="25"/>
        <v>Robusta</v>
      </c>
      <c r="O549" t="str">
        <f t="shared" si="26"/>
        <v>Light</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f t="shared" si="24"/>
        <v>13.365</v>
      </c>
      <c r="N550" t="str">
        <f t="shared" si="25"/>
        <v>Excelsa</v>
      </c>
      <c r="O550" t="str">
        <f t="shared" si="26"/>
        <v>Light</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f t="shared" si="24"/>
        <v>17.82</v>
      </c>
      <c r="N551" t="str">
        <f t="shared" si="25"/>
        <v>Excelsa</v>
      </c>
      <c r="O551" t="str">
        <f t="shared" si="26"/>
        <v>Light</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f t="shared" si="24"/>
        <v>23.31</v>
      </c>
      <c r="N552" t="str">
        <f t="shared" si="25"/>
        <v>Liberica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f t="shared" si="24"/>
        <v>17.82</v>
      </c>
      <c r="N554" t="str">
        <f t="shared" si="25"/>
        <v>Excelsa</v>
      </c>
      <c r="O554" t="str">
        <f t="shared" si="26"/>
        <v>Light</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f t="shared" si="24"/>
        <v>54.969999999999992</v>
      </c>
      <c r="N556" t="str">
        <f t="shared" si="25"/>
        <v>Robusta</v>
      </c>
      <c r="O556" t="str">
        <f t="shared" si="26"/>
        <v>Light</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f t="shared" si="24"/>
        <v>8.73</v>
      </c>
      <c r="N558" t="str">
        <f t="shared" si="25"/>
        <v>Liberica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f t="shared" si="24"/>
        <v>59.4</v>
      </c>
      <c r="N559" t="str">
        <f t="shared" si="25"/>
        <v>Excelsa</v>
      </c>
      <c r="O559" t="str">
        <f t="shared" si="26"/>
        <v>Light</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f t="shared" si="24"/>
        <v>15.54</v>
      </c>
      <c r="N560" t="str">
        <f t="shared" si="25"/>
        <v>Liberica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f t="shared" si="24"/>
        <v>38.849999999999994</v>
      </c>
      <c r="N561" t="str">
        <f t="shared" si="25"/>
        <v>Arabica</v>
      </c>
      <c r="O561" t="str">
        <f t="shared" si="26"/>
        <v>Light</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f t="shared" si="24"/>
        <v>17.91</v>
      </c>
      <c r="N563" t="str">
        <f t="shared" si="25"/>
        <v>Arabica</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f t="shared" si="24"/>
        <v>28.53</v>
      </c>
      <c r="N564" t="str">
        <f t="shared" si="25"/>
        <v>Liberica</v>
      </c>
      <c r="O564" t="str">
        <f t="shared" si="26"/>
        <v>Light</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f t="shared" si="24"/>
        <v>14.339999999999998</v>
      </c>
      <c r="N566" t="str">
        <f t="shared" si="25"/>
        <v>Robusta</v>
      </c>
      <c r="O566" t="str">
        <f t="shared" si="26"/>
        <v>Light</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f t="shared" si="24"/>
        <v>20.25</v>
      </c>
      <c r="N568" t="str">
        <f t="shared" si="25"/>
        <v>Arabica</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f t="shared" si="24"/>
        <v>164.90999999999997</v>
      </c>
      <c r="N569" t="str">
        <f t="shared" si="25"/>
        <v>Robusta</v>
      </c>
      <c r="O569" t="str">
        <f t="shared" si="26"/>
        <v>Light</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f t="shared" si="24"/>
        <v>19.02</v>
      </c>
      <c r="N570" t="str">
        <f t="shared" si="25"/>
        <v>Liberica</v>
      </c>
      <c r="O570" t="str">
        <f t="shared" si="26"/>
        <v>Light</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f t="shared" si="24"/>
        <v>137.31</v>
      </c>
      <c r="N571" t="str">
        <f t="shared" si="25"/>
        <v>Arabica</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f t="shared" si="24"/>
        <v>27</v>
      </c>
      <c r="N572" t="str">
        <f t="shared" si="25"/>
        <v>Arabica</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f t="shared" si="24"/>
        <v>35.64</v>
      </c>
      <c r="N573" t="str">
        <f t="shared" si="25"/>
        <v>Excelsa</v>
      </c>
      <c r="O573" t="str">
        <f t="shared" si="26"/>
        <v>Light</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f t="shared" si="24"/>
        <v>5.97</v>
      </c>
      <c r="N574" t="str">
        <f t="shared" si="25"/>
        <v>Arabica</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f t="shared" si="24"/>
        <v>67.5</v>
      </c>
      <c r="N575" t="str">
        <f t="shared" si="25"/>
        <v>Arabica</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f t="shared" si="24"/>
        <v>21.509999999999998</v>
      </c>
      <c r="N576" t="str">
        <f t="shared" si="25"/>
        <v>Robusta</v>
      </c>
      <c r="O576" t="str">
        <f t="shared" si="26"/>
        <v>Light</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f t="shared" si="24"/>
        <v>66.929999999999993</v>
      </c>
      <c r="N577" t="str">
        <f t="shared" si="25"/>
        <v>Liberica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f t="shared" si="24"/>
        <v>17.91</v>
      </c>
      <c r="N578" t="str">
        <f t="shared" si="25"/>
        <v>Arabica</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f t="shared" si="27"/>
        <v>13.365</v>
      </c>
      <c r="N580" t="str">
        <f t="shared" si="28"/>
        <v>Excelsa</v>
      </c>
      <c r="O580" t="str">
        <f t="shared" si="29"/>
        <v>Light</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f t="shared" si="27"/>
        <v>33.75</v>
      </c>
      <c r="N581" t="str">
        <f t="shared" si="28"/>
        <v>Arabica</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f t="shared" si="27"/>
        <v>44.55</v>
      </c>
      <c r="N582" t="str">
        <f t="shared" si="28"/>
        <v>Excelsa</v>
      </c>
      <c r="O582" t="str">
        <f t="shared" si="29"/>
        <v>Light</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f t="shared" si="27"/>
        <v>44.55</v>
      </c>
      <c r="N583" t="str">
        <f t="shared" si="28"/>
        <v>Excelsa</v>
      </c>
      <c r="O583" t="str">
        <f t="shared" si="29"/>
        <v>Light</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f t="shared" si="27"/>
        <v>3.5849999999999995</v>
      </c>
      <c r="N585" t="str">
        <f t="shared" si="28"/>
        <v>Robusta</v>
      </c>
      <c r="O585" t="str">
        <f t="shared" si="29"/>
        <v>Light</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f t="shared" si="27"/>
        <v>21.509999999999998</v>
      </c>
      <c r="N586" t="str">
        <f t="shared" si="28"/>
        <v>Robusta</v>
      </c>
      <c r="O586" t="str">
        <f t="shared" si="29"/>
        <v>Light</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f t="shared" si="27"/>
        <v>82.454999999999984</v>
      </c>
      <c r="N588" t="str">
        <f t="shared" si="28"/>
        <v>Robusta</v>
      </c>
      <c r="O588" t="str">
        <f t="shared" si="29"/>
        <v>Light</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f t="shared" si="27"/>
        <v>7.77</v>
      </c>
      <c r="N589" t="str">
        <f t="shared" si="28"/>
        <v>Liberica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f t="shared" si="27"/>
        <v>204.92999999999995</v>
      </c>
      <c r="N591" t="str">
        <f t="shared" si="28"/>
        <v>Excelsa</v>
      </c>
      <c r="O591" t="str">
        <f t="shared" si="29"/>
        <v>Light</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f t="shared" si="27"/>
        <v>51.749999999999993</v>
      </c>
      <c r="N594" t="str">
        <f t="shared" si="28"/>
        <v>Arabica</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f t="shared" si="27"/>
        <v>59.569999999999993</v>
      </c>
      <c r="N596" t="str">
        <f t="shared" si="28"/>
        <v>Arabica</v>
      </c>
      <c r="O596" t="str">
        <f t="shared" si="29"/>
        <v>Light</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f t="shared" si="27"/>
        <v>14.85</v>
      </c>
      <c r="N597" t="str">
        <f t="shared" si="28"/>
        <v>Excelsa</v>
      </c>
      <c r="O597" t="str">
        <f t="shared" si="29"/>
        <v>Light</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f t="shared" si="27"/>
        <v>33.75</v>
      </c>
      <c r="N598" t="str">
        <f t="shared" si="28"/>
        <v>Arabica</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f t="shared" si="27"/>
        <v>145.82</v>
      </c>
      <c r="N599" t="str">
        <f t="shared" si="28"/>
        <v>Liberica</v>
      </c>
      <c r="O599" t="str">
        <f t="shared" si="29"/>
        <v>Light</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f t="shared" si="27"/>
        <v>11.94</v>
      </c>
      <c r="N601" t="str">
        <f t="shared" si="28"/>
        <v>Arabica</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f t="shared" si="27"/>
        <v>7.77</v>
      </c>
      <c r="N602" t="str">
        <f t="shared" si="28"/>
        <v>Liberica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f t="shared" si="27"/>
        <v>109.93999999999998</v>
      </c>
      <c r="N603" t="str">
        <f t="shared" si="28"/>
        <v>Robusta</v>
      </c>
      <c r="O603" t="str">
        <f t="shared" si="29"/>
        <v>Light</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f t="shared" si="27"/>
        <v>22.274999999999999</v>
      </c>
      <c r="N604" t="str">
        <f t="shared" si="28"/>
        <v>Excelsa</v>
      </c>
      <c r="O604" t="str">
        <f t="shared" si="29"/>
        <v>Light</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f t="shared" si="27"/>
        <v>119.13999999999999</v>
      </c>
      <c r="N606" t="str">
        <f t="shared" si="28"/>
        <v>Liberica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f t="shared" si="27"/>
        <v>148.92499999999998</v>
      </c>
      <c r="N607" t="str">
        <f t="shared" si="28"/>
        <v>Arabica</v>
      </c>
      <c r="O607" t="str">
        <f t="shared" si="29"/>
        <v>Light</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f t="shared" si="27"/>
        <v>109.36499999999999</v>
      </c>
      <c r="N608" t="str">
        <f t="shared" si="28"/>
        <v>Liberica</v>
      </c>
      <c r="O608" t="str">
        <f t="shared" si="29"/>
        <v>Light</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f t="shared" si="27"/>
        <v>26.19</v>
      </c>
      <c r="N611" t="str">
        <f t="shared" si="28"/>
        <v>Liberica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f t="shared" si="27"/>
        <v>68.309999999999988</v>
      </c>
      <c r="N613" t="str">
        <f t="shared" si="28"/>
        <v>Excelsa</v>
      </c>
      <c r="O613" t="str">
        <f t="shared" si="29"/>
        <v>Light</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f t="shared" si="27"/>
        <v>13.5</v>
      </c>
      <c r="N614" t="str">
        <f t="shared" si="28"/>
        <v>Arabica</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f t="shared" si="27"/>
        <v>72.91</v>
      </c>
      <c r="N617" t="str">
        <f t="shared" si="28"/>
        <v>Liberica</v>
      </c>
      <c r="O617" t="str">
        <f t="shared" si="29"/>
        <v>Light</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f t="shared" si="27"/>
        <v>33.464999999999996</v>
      </c>
      <c r="N619" t="str">
        <f t="shared" si="28"/>
        <v>Liberica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f t="shared" si="27"/>
        <v>15.54</v>
      </c>
      <c r="N621" t="str">
        <f t="shared" si="28"/>
        <v>Liberica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f t="shared" si="27"/>
        <v>20.25</v>
      </c>
      <c r="N622" t="str">
        <f t="shared" si="28"/>
        <v>Arabica</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f t="shared" si="27"/>
        <v>77.699999999999989</v>
      </c>
      <c r="N623" t="str">
        <f t="shared" si="28"/>
        <v>Arabica</v>
      </c>
      <c r="O623" t="str">
        <f t="shared" si="29"/>
        <v>Light</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f t="shared" si="27"/>
        <v>133.85999999999999</v>
      </c>
      <c r="N624" t="str">
        <f t="shared" si="28"/>
        <v>Liberica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f t="shared" si="27"/>
        <v>35.849999999999994</v>
      </c>
      <c r="N627" t="str">
        <f t="shared" si="28"/>
        <v>Robusta</v>
      </c>
      <c r="O627" t="str">
        <f t="shared" si="29"/>
        <v>Light</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f t="shared" si="27"/>
        <v>77.624999999999986</v>
      </c>
      <c r="N628" t="str">
        <f t="shared" si="28"/>
        <v>Arabica</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f t="shared" si="27"/>
        <v>26.73</v>
      </c>
      <c r="N630" t="str">
        <f t="shared" si="28"/>
        <v>Excelsa</v>
      </c>
      <c r="O630" t="str">
        <f t="shared" si="29"/>
        <v>Light</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f t="shared" si="27"/>
        <v>31.08</v>
      </c>
      <c r="N631" t="str">
        <f t="shared" si="28"/>
        <v>Liberica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f t="shared" si="27"/>
        <v>2.9849999999999999</v>
      </c>
      <c r="N632" t="str">
        <f t="shared" si="28"/>
        <v>Arabica</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f t="shared" si="27"/>
        <v>35.64</v>
      </c>
      <c r="N634" t="str">
        <f t="shared" si="28"/>
        <v>Excelsa</v>
      </c>
      <c r="O634" t="str">
        <f t="shared" si="29"/>
        <v>Light</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f t="shared" si="27"/>
        <v>47.8</v>
      </c>
      <c r="N635" t="str">
        <f t="shared" si="28"/>
        <v>Robusta</v>
      </c>
      <c r="O635" t="str">
        <f t="shared" si="29"/>
        <v>Light</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f t="shared" si="27"/>
        <v>43.650000000000006</v>
      </c>
      <c r="N636" t="str">
        <f t="shared" si="28"/>
        <v>Liberica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f t="shared" si="27"/>
        <v>35.64</v>
      </c>
      <c r="N637" t="str">
        <f t="shared" si="28"/>
        <v>Excelsa</v>
      </c>
      <c r="O637" t="str">
        <f t="shared" si="29"/>
        <v>Light</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f t="shared" si="27"/>
        <v>95.1</v>
      </c>
      <c r="N638" t="str">
        <f t="shared" si="28"/>
        <v>Liberica</v>
      </c>
      <c r="O638" t="str">
        <f t="shared" si="29"/>
        <v>Light</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f t="shared" si="27"/>
        <v>77.624999999999986</v>
      </c>
      <c r="N640" t="str">
        <f t="shared" si="28"/>
        <v>Arabica</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f t="shared" si="27"/>
        <v>3.8849999999999998</v>
      </c>
      <c r="N641" t="str">
        <f t="shared" si="28"/>
        <v>Liberica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f t="shared" si="27"/>
        <v>137.42499999999998</v>
      </c>
      <c r="N642" t="str">
        <f t="shared" si="28"/>
        <v>Robusta</v>
      </c>
      <c r="O642" t="str">
        <f t="shared" si="29"/>
        <v>Light</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f t="shared" si="30"/>
        <v>102.46499999999997</v>
      </c>
      <c r="N645" t="str">
        <f t="shared" si="31"/>
        <v>Excelsa</v>
      </c>
      <c r="O645" t="str">
        <f t="shared" si="32"/>
        <v>Light</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f t="shared" si="30"/>
        <v>68.655000000000001</v>
      </c>
      <c r="N647" t="str">
        <f t="shared" si="31"/>
        <v>Arabica</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f t="shared" si="30"/>
        <v>9.9499999999999993</v>
      </c>
      <c r="N648" t="str">
        <f t="shared" si="31"/>
        <v>Arabica</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f t="shared" si="30"/>
        <v>28.53</v>
      </c>
      <c r="N649" t="str">
        <f t="shared" si="31"/>
        <v>Liberica</v>
      </c>
      <c r="O649" t="str">
        <f t="shared" si="32"/>
        <v>Light</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f t="shared" si="30"/>
        <v>95.1</v>
      </c>
      <c r="N651" t="str">
        <f t="shared" si="31"/>
        <v>Liberica</v>
      </c>
      <c r="O651" t="str">
        <f t="shared" si="32"/>
        <v>Light</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f t="shared" si="30"/>
        <v>47.8</v>
      </c>
      <c r="N653" t="str">
        <f t="shared" si="31"/>
        <v>Robusta</v>
      </c>
      <c r="O653" t="str">
        <f t="shared" si="32"/>
        <v>Light</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f t="shared" si="30"/>
        <v>63.4</v>
      </c>
      <c r="N654" t="str">
        <f t="shared" si="31"/>
        <v>Liberica</v>
      </c>
      <c r="O654" t="str">
        <f t="shared" si="32"/>
        <v>Light</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f t="shared" si="30"/>
        <v>103.49999999999999</v>
      </c>
      <c r="N655" t="str">
        <f t="shared" si="31"/>
        <v>Arabica</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f t="shared" si="30"/>
        <v>68.655000000000001</v>
      </c>
      <c r="N656" t="str">
        <f t="shared" si="31"/>
        <v>Arabica</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f t="shared" si="30"/>
        <v>51.8</v>
      </c>
      <c r="N658" t="str">
        <f t="shared" si="31"/>
        <v>Liberica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f t="shared" si="30"/>
        <v>13.5</v>
      </c>
      <c r="N659" t="str">
        <f t="shared" si="31"/>
        <v>Arabica</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f t="shared" si="30"/>
        <v>45.769999999999996</v>
      </c>
      <c r="N661" t="str">
        <f t="shared" si="31"/>
        <v>Arabica</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f t="shared" si="30"/>
        <v>53.46</v>
      </c>
      <c r="N662" t="str">
        <f t="shared" si="31"/>
        <v>Excelsa</v>
      </c>
      <c r="O662" t="str">
        <f t="shared" si="32"/>
        <v>Light</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f t="shared" si="30"/>
        <v>20.25</v>
      </c>
      <c r="N663" t="str">
        <f t="shared" si="31"/>
        <v>Arabica</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f t="shared" si="30"/>
        <v>148.92499999999998</v>
      </c>
      <c r="N664" t="str">
        <f t="shared" si="31"/>
        <v>Liberica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f t="shared" si="30"/>
        <v>67.5</v>
      </c>
      <c r="N665" t="str">
        <f t="shared" si="31"/>
        <v>Arabica</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f t="shared" si="30"/>
        <v>7.77</v>
      </c>
      <c r="N667" t="str">
        <f t="shared" si="31"/>
        <v>Liberica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f t="shared" si="30"/>
        <v>91.539999999999992</v>
      </c>
      <c r="N668" t="str">
        <f t="shared" si="31"/>
        <v>Arabica</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f t="shared" si="30"/>
        <v>59.699999999999996</v>
      </c>
      <c r="N669" t="str">
        <f t="shared" si="31"/>
        <v>Arabica</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f t="shared" si="30"/>
        <v>137.42499999999998</v>
      </c>
      <c r="N670" t="str">
        <f t="shared" si="31"/>
        <v>Robusta</v>
      </c>
      <c r="O670" t="str">
        <f t="shared" si="32"/>
        <v>Light</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f t="shared" si="30"/>
        <v>66.929999999999993</v>
      </c>
      <c r="N671" t="str">
        <f t="shared" si="31"/>
        <v>Liberica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f t="shared" si="30"/>
        <v>13.095000000000001</v>
      </c>
      <c r="N672" t="str">
        <f t="shared" si="31"/>
        <v>Liberica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f t="shared" si="30"/>
        <v>59.75</v>
      </c>
      <c r="N673" t="str">
        <f t="shared" si="31"/>
        <v>Robusta</v>
      </c>
      <c r="O673" t="str">
        <f t="shared" si="32"/>
        <v>Light</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f t="shared" si="30"/>
        <v>43.650000000000006</v>
      </c>
      <c r="N674" t="str">
        <f t="shared" si="31"/>
        <v>Liberica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f t="shared" si="30"/>
        <v>178.70999999999998</v>
      </c>
      <c r="N676" t="str">
        <f t="shared" si="31"/>
        <v>Arabica</v>
      </c>
      <c r="O676" t="str">
        <f t="shared" si="32"/>
        <v>Light</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f t="shared" si="30"/>
        <v>119.13999999999999</v>
      </c>
      <c r="N677" t="str">
        <f t="shared" si="31"/>
        <v>Liberica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f t="shared" si="30"/>
        <v>47.55</v>
      </c>
      <c r="N678" t="str">
        <f t="shared" si="31"/>
        <v>Liberica</v>
      </c>
      <c r="O678" t="str">
        <f t="shared" si="32"/>
        <v>Light</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f t="shared" si="30"/>
        <v>43.650000000000006</v>
      </c>
      <c r="N679" t="str">
        <f t="shared" si="31"/>
        <v>Liberica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f t="shared" si="30"/>
        <v>178.70999999999998</v>
      </c>
      <c r="N680" t="str">
        <f t="shared" si="31"/>
        <v>Arabica</v>
      </c>
      <c r="O680" t="str">
        <f t="shared" si="32"/>
        <v>Light</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f t="shared" si="30"/>
        <v>27.484999999999996</v>
      </c>
      <c r="N681" t="str">
        <f t="shared" si="31"/>
        <v>Robusta</v>
      </c>
      <c r="O681" t="str">
        <f t="shared" si="32"/>
        <v>Light</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f t="shared" si="30"/>
        <v>56.25</v>
      </c>
      <c r="N682" t="str">
        <f t="shared" si="31"/>
        <v>Arabica</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f t="shared" si="30"/>
        <v>9.51</v>
      </c>
      <c r="N683" t="str">
        <f t="shared" si="31"/>
        <v>Liberica</v>
      </c>
      <c r="O683" t="str">
        <f t="shared" si="32"/>
        <v>Light</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f t="shared" si="30"/>
        <v>46.62</v>
      </c>
      <c r="N685" t="str">
        <f t="shared" si="31"/>
        <v>Liberica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f t="shared" si="30"/>
        <v>71.699999999999989</v>
      </c>
      <c r="N686" t="str">
        <f t="shared" si="31"/>
        <v>Robusta</v>
      </c>
      <c r="O686" t="str">
        <f t="shared" si="32"/>
        <v>Light</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f t="shared" si="30"/>
        <v>72.91</v>
      </c>
      <c r="N687" t="str">
        <f t="shared" si="31"/>
        <v>Liberica</v>
      </c>
      <c r="O687" t="str">
        <f t="shared" si="32"/>
        <v>Light</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f t="shared" si="30"/>
        <v>64.75</v>
      </c>
      <c r="N690" t="str">
        <f t="shared" si="31"/>
        <v>Arabica</v>
      </c>
      <c r="O690" t="str">
        <f t="shared" si="32"/>
        <v>Light</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f t="shared" si="30"/>
        <v>33.75</v>
      </c>
      <c r="N691" t="str">
        <f t="shared" si="31"/>
        <v>Arabica</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f t="shared" si="30"/>
        <v>178.70999999999998</v>
      </c>
      <c r="N692" t="str">
        <f t="shared" si="31"/>
        <v>Liberica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f t="shared" si="30"/>
        <v>22.5</v>
      </c>
      <c r="N693" t="str">
        <f t="shared" si="31"/>
        <v>Arabica</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f t="shared" si="30"/>
        <v>12.95</v>
      </c>
      <c r="N694" t="str">
        <f t="shared" si="31"/>
        <v>Liberica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f t="shared" si="30"/>
        <v>51.749999999999993</v>
      </c>
      <c r="N695" t="str">
        <f t="shared" si="31"/>
        <v>Arabica</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f t="shared" si="30"/>
        <v>182.27499999999998</v>
      </c>
      <c r="N697" t="str">
        <f t="shared" si="31"/>
        <v>Liberica</v>
      </c>
      <c r="O697" t="str">
        <f t="shared" si="32"/>
        <v>Light</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f t="shared" si="30"/>
        <v>31.08</v>
      </c>
      <c r="N698" t="str">
        <f t="shared" si="31"/>
        <v>Liberica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f t="shared" si="30"/>
        <v>20.25</v>
      </c>
      <c r="N699" t="str">
        <f t="shared" si="31"/>
        <v>Arabica</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f t="shared" si="30"/>
        <v>25.9</v>
      </c>
      <c r="N700" t="str">
        <f t="shared" si="31"/>
        <v>Liberica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f t="shared" si="30"/>
        <v>23.88</v>
      </c>
      <c r="N701" t="str">
        <f t="shared" si="31"/>
        <v>Arabica</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f t="shared" si="30"/>
        <v>19.02</v>
      </c>
      <c r="N702" t="str">
        <f t="shared" si="31"/>
        <v>Liberica</v>
      </c>
      <c r="O702" t="str">
        <f t="shared" si="32"/>
        <v>Light</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f t="shared" si="30"/>
        <v>29.849999999999998</v>
      </c>
      <c r="N703" t="str">
        <f t="shared" si="31"/>
        <v>Arabica</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f t="shared" si="30"/>
        <v>7.77</v>
      </c>
      <c r="N704" t="str">
        <f t="shared" si="31"/>
        <v>Arabica</v>
      </c>
      <c r="O704" t="str">
        <f t="shared" si="32"/>
        <v>Light</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f t="shared" si="30"/>
        <v>119.13999999999999</v>
      </c>
      <c r="N705" t="str">
        <f t="shared" si="31"/>
        <v>Liberica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f t="shared" si="33"/>
        <v>25.9</v>
      </c>
      <c r="N709" t="str">
        <f t="shared" si="34"/>
        <v>Liberica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f t="shared" si="33"/>
        <v>13.5</v>
      </c>
      <c r="N710" t="str">
        <f t="shared" si="34"/>
        <v>Arabica</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f t="shared" si="33"/>
        <v>17.82</v>
      </c>
      <c r="N711" t="str">
        <f t="shared" si="34"/>
        <v>Excelsa</v>
      </c>
      <c r="O711" t="str">
        <f t="shared" si="35"/>
        <v>Light</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f t="shared" si="33"/>
        <v>89.1</v>
      </c>
      <c r="N717" t="str">
        <f t="shared" si="34"/>
        <v>Excelsa</v>
      </c>
      <c r="O717" t="str">
        <f t="shared" si="35"/>
        <v>Light</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f t="shared" si="33"/>
        <v>35.849999999999994</v>
      </c>
      <c r="N718" t="str">
        <f t="shared" si="34"/>
        <v>Robusta</v>
      </c>
      <c r="O718" t="str">
        <f t="shared" si="35"/>
        <v>Light</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f t="shared" si="33"/>
        <v>68.655000000000001</v>
      </c>
      <c r="N719" t="str">
        <f t="shared" si="34"/>
        <v>Arabica</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f t="shared" si="33"/>
        <v>38.849999999999994</v>
      </c>
      <c r="N720" t="str">
        <f t="shared" si="34"/>
        <v>Liberica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f t="shared" si="33"/>
        <v>79.25</v>
      </c>
      <c r="N721" t="str">
        <f t="shared" si="34"/>
        <v>Liberica</v>
      </c>
      <c r="O721" t="str">
        <f t="shared" si="35"/>
        <v>Light</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f t="shared" si="33"/>
        <v>6.75</v>
      </c>
      <c r="N726" t="str">
        <f t="shared" si="34"/>
        <v>Arabica</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f t="shared" si="33"/>
        <v>23.31</v>
      </c>
      <c r="N727" t="str">
        <f t="shared" si="34"/>
        <v>Arabica</v>
      </c>
      <c r="O727" t="str">
        <f t="shared" si="35"/>
        <v>Light</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f t="shared" si="33"/>
        <v>145.82</v>
      </c>
      <c r="N728" t="str">
        <f t="shared" si="34"/>
        <v>Liberica</v>
      </c>
      <c r="O728" t="str">
        <f t="shared" si="35"/>
        <v>Light</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f t="shared" si="33"/>
        <v>4.3650000000000002</v>
      </c>
      <c r="N731" t="str">
        <f t="shared" si="34"/>
        <v>Liberica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f t="shared" si="33"/>
        <v>36.454999999999998</v>
      </c>
      <c r="N732" t="str">
        <f t="shared" si="34"/>
        <v>Liberica</v>
      </c>
      <c r="O732" t="str">
        <f t="shared" si="35"/>
        <v>Light</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f t="shared" si="33"/>
        <v>15.54</v>
      </c>
      <c r="N733" t="str">
        <f t="shared" si="34"/>
        <v>Liberica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f t="shared" si="33"/>
        <v>8.91</v>
      </c>
      <c r="N734" t="str">
        <f t="shared" si="34"/>
        <v>Excelsa</v>
      </c>
      <c r="O734" t="str">
        <f t="shared" si="35"/>
        <v>Light</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f t="shared" si="33"/>
        <v>100.39499999999998</v>
      </c>
      <c r="N735" t="str">
        <f t="shared" si="34"/>
        <v>Liberica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f t="shared" si="33"/>
        <v>25.9</v>
      </c>
      <c r="N738" t="str">
        <f t="shared" si="34"/>
        <v>Liberica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f t="shared" si="33"/>
        <v>56.25</v>
      </c>
      <c r="N739" t="str">
        <f t="shared" si="34"/>
        <v>Arabica</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f t="shared" si="33"/>
        <v>10.754999999999999</v>
      </c>
      <c r="N740" t="str">
        <f t="shared" si="34"/>
        <v>Robusta</v>
      </c>
      <c r="O740" t="str">
        <f t="shared" si="35"/>
        <v>Light</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f t="shared" si="33"/>
        <v>28.679999999999996</v>
      </c>
      <c r="N742" t="str">
        <f t="shared" si="34"/>
        <v>Robusta</v>
      </c>
      <c r="O742" t="str">
        <f t="shared" si="35"/>
        <v>Light</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f t="shared" si="33"/>
        <v>8.73</v>
      </c>
      <c r="N743" t="str">
        <f t="shared" si="34"/>
        <v>Liberica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f t="shared" si="33"/>
        <v>58.2</v>
      </c>
      <c r="N744" t="str">
        <f t="shared" si="34"/>
        <v>Liberica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f t="shared" si="33"/>
        <v>17.91</v>
      </c>
      <c r="N745" t="str">
        <f t="shared" si="34"/>
        <v>Arabica</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f t="shared" si="33"/>
        <v>33.75</v>
      </c>
      <c r="N748" t="str">
        <f t="shared" si="34"/>
        <v>Arabica</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f t="shared" si="33"/>
        <v>34.92</v>
      </c>
      <c r="N749" t="str">
        <f t="shared" si="34"/>
        <v>Liberica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f t="shared" si="33"/>
        <v>19.02</v>
      </c>
      <c r="N753" t="str">
        <f t="shared" si="34"/>
        <v>Liberica</v>
      </c>
      <c r="O753" t="str">
        <f t="shared" si="35"/>
        <v>Light</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f t="shared" si="33"/>
        <v>29.849999999999998</v>
      </c>
      <c r="N755" t="str">
        <f t="shared" si="34"/>
        <v>Arabica</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f t="shared" si="33"/>
        <v>17.91</v>
      </c>
      <c r="N756" t="str">
        <f t="shared" si="34"/>
        <v>Arabica</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f t="shared" si="33"/>
        <v>28.53</v>
      </c>
      <c r="N757" t="str">
        <f t="shared" si="34"/>
        <v>Liberica</v>
      </c>
      <c r="O757" t="str">
        <f t="shared" si="35"/>
        <v>Light</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f t="shared" si="33"/>
        <v>17.91</v>
      </c>
      <c r="N759" t="str">
        <f t="shared" si="34"/>
        <v>Arabica</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f t="shared" si="33"/>
        <v>29.784999999999997</v>
      </c>
      <c r="N761" t="str">
        <f t="shared" si="34"/>
        <v>Liberica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f t="shared" si="33"/>
        <v>44.55</v>
      </c>
      <c r="N762" t="str">
        <f t="shared" si="34"/>
        <v>Excelsa</v>
      </c>
      <c r="O762" t="str">
        <f t="shared" si="35"/>
        <v>Light</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f t="shared" si="33"/>
        <v>89.1</v>
      </c>
      <c r="N763" t="str">
        <f t="shared" si="34"/>
        <v>Excelsa</v>
      </c>
      <c r="O763" t="str">
        <f t="shared" si="35"/>
        <v>Light</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f t="shared" si="33"/>
        <v>43.650000000000006</v>
      </c>
      <c r="N764" t="str">
        <f t="shared" si="34"/>
        <v>Liberica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f t="shared" si="33"/>
        <v>23.31</v>
      </c>
      <c r="N765" t="str">
        <f t="shared" si="34"/>
        <v>Arabica</v>
      </c>
      <c r="O765" t="str">
        <f t="shared" si="35"/>
        <v>Light</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f t="shared" si="33"/>
        <v>178.70999999999998</v>
      </c>
      <c r="N766" t="str">
        <f t="shared" si="34"/>
        <v>Arabica</v>
      </c>
      <c r="O766" t="str">
        <f t="shared" si="35"/>
        <v>Light</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f t="shared" si="33"/>
        <v>15.54</v>
      </c>
      <c r="N768" t="str">
        <f t="shared" si="34"/>
        <v>Arabica</v>
      </c>
      <c r="O768" t="str">
        <f t="shared" si="35"/>
        <v>Light</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f t="shared" si="33"/>
        <v>89.35499999999999</v>
      </c>
      <c r="N769" t="str">
        <f t="shared" si="34"/>
        <v>Arabica</v>
      </c>
      <c r="O769" t="str">
        <f t="shared" si="35"/>
        <v>Light</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f t="shared" si="33"/>
        <v>23.9</v>
      </c>
      <c r="N770" t="str">
        <f t="shared" si="34"/>
        <v>Robusta</v>
      </c>
      <c r="O770" t="str">
        <f t="shared" si="35"/>
        <v>Light</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f t="shared" si="36"/>
        <v>9.9499999999999993</v>
      </c>
      <c r="N772" t="str">
        <f t="shared" si="37"/>
        <v>Arabica</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f t="shared" si="36"/>
        <v>21.509999999999998</v>
      </c>
      <c r="N773" t="str">
        <f t="shared" si="37"/>
        <v>Robusta</v>
      </c>
      <c r="O773" t="str">
        <f t="shared" si="38"/>
        <v>Light</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f t="shared" si="36"/>
        <v>8.73</v>
      </c>
      <c r="N775" t="str">
        <f t="shared" si="37"/>
        <v>Liberica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f t="shared" si="36"/>
        <v>17.82</v>
      </c>
      <c r="N777" t="str">
        <f t="shared" si="37"/>
        <v>Excelsa</v>
      </c>
      <c r="O777" t="str">
        <f t="shared" si="38"/>
        <v>Light</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f t="shared" si="36"/>
        <v>20.25</v>
      </c>
      <c r="N778" t="str">
        <f t="shared" si="37"/>
        <v>Arabica</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f t="shared" si="36"/>
        <v>59.569999999999993</v>
      </c>
      <c r="N779" t="str">
        <f t="shared" si="37"/>
        <v>Arabica</v>
      </c>
      <c r="O779" t="str">
        <f t="shared" si="38"/>
        <v>Light</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f t="shared" si="36"/>
        <v>19.02</v>
      </c>
      <c r="N780" t="str">
        <f t="shared" si="37"/>
        <v>Liberica</v>
      </c>
      <c r="O780" t="str">
        <f t="shared" si="38"/>
        <v>Light</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f t="shared" si="36"/>
        <v>77.699999999999989</v>
      </c>
      <c r="N781" t="str">
        <f t="shared" si="37"/>
        <v>Liberica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f t="shared" si="36"/>
        <v>145.82</v>
      </c>
      <c r="N783" t="str">
        <f t="shared" si="37"/>
        <v>Liberica</v>
      </c>
      <c r="O783" t="str">
        <f t="shared" si="38"/>
        <v>Light</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f t="shared" si="36"/>
        <v>26.73</v>
      </c>
      <c r="N784" t="str">
        <f t="shared" si="37"/>
        <v>Excelsa</v>
      </c>
      <c r="O784" t="str">
        <f t="shared" si="38"/>
        <v>Light</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f t="shared" si="36"/>
        <v>43.650000000000006</v>
      </c>
      <c r="N785" t="str">
        <f t="shared" si="37"/>
        <v>Liberica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f t="shared" si="36"/>
        <v>31.7</v>
      </c>
      <c r="N786" t="str">
        <f t="shared" si="37"/>
        <v>Liberica</v>
      </c>
      <c r="O786" t="str">
        <f t="shared" si="38"/>
        <v>Light</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f t="shared" si="36"/>
        <v>22.884999999999998</v>
      </c>
      <c r="N787" t="str">
        <f t="shared" si="37"/>
        <v>Arabica</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f t="shared" si="36"/>
        <v>77.699999999999989</v>
      </c>
      <c r="N791" t="str">
        <f t="shared" si="37"/>
        <v>Arabica</v>
      </c>
      <c r="O791" t="str">
        <f t="shared" si="38"/>
        <v>Light</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f t="shared" si="36"/>
        <v>23.31</v>
      </c>
      <c r="N792" t="str">
        <f t="shared" si="37"/>
        <v>Arabica</v>
      </c>
      <c r="O792" t="str">
        <f t="shared" si="38"/>
        <v>Light</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f t="shared" si="36"/>
        <v>23.774999999999999</v>
      </c>
      <c r="N793" t="str">
        <f t="shared" si="37"/>
        <v>Liberica</v>
      </c>
      <c r="O793" t="str">
        <f t="shared" si="38"/>
        <v>Light</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f t="shared" si="36"/>
        <v>52.38</v>
      </c>
      <c r="N794" t="str">
        <f t="shared" si="37"/>
        <v>Liberica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f t="shared" si="36"/>
        <v>17.924999999999997</v>
      </c>
      <c r="N795" t="str">
        <f t="shared" si="37"/>
        <v>Robusta</v>
      </c>
      <c r="O795" t="str">
        <f t="shared" si="38"/>
        <v>Light</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f t="shared" si="36"/>
        <v>148.92499999999998</v>
      </c>
      <c r="N796" t="str">
        <f t="shared" si="37"/>
        <v>Arabica</v>
      </c>
      <c r="O796" t="str">
        <f t="shared" si="38"/>
        <v>Light</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f t="shared" si="36"/>
        <v>28.679999999999996</v>
      </c>
      <c r="N797" t="str">
        <f t="shared" si="37"/>
        <v>Robusta</v>
      </c>
      <c r="O797" t="str">
        <f t="shared" si="38"/>
        <v>Light</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f t="shared" si="36"/>
        <v>9.51</v>
      </c>
      <c r="N798" t="str">
        <f t="shared" si="37"/>
        <v>Liberica</v>
      </c>
      <c r="O798" t="str">
        <f t="shared" si="38"/>
        <v>Light</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f t="shared" si="36"/>
        <v>31.08</v>
      </c>
      <c r="N799" t="str">
        <f t="shared" si="37"/>
        <v>Arabica</v>
      </c>
      <c r="O799" t="str">
        <f t="shared" si="38"/>
        <v>Light</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f t="shared" si="36"/>
        <v>23.9</v>
      </c>
      <c r="N806" t="str">
        <f t="shared" si="37"/>
        <v>Robusta</v>
      </c>
      <c r="O806" t="str">
        <f t="shared" si="38"/>
        <v>Light</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f t="shared" si="36"/>
        <v>7.77</v>
      </c>
      <c r="N808" t="str">
        <f t="shared" si="37"/>
        <v>Liberica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f t="shared" si="36"/>
        <v>23.31</v>
      </c>
      <c r="N809" t="str">
        <f t="shared" si="37"/>
        <v>Liberica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f t="shared" si="36"/>
        <v>137.42499999999998</v>
      </c>
      <c r="N810" t="str">
        <f t="shared" si="37"/>
        <v>Robusta</v>
      </c>
      <c r="O810" t="str">
        <f t="shared" si="38"/>
        <v>Light</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f t="shared" si="36"/>
        <v>28.53</v>
      </c>
      <c r="N812" t="str">
        <f t="shared" si="37"/>
        <v>Liberica</v>
      </c>
      <c r="O812" t="str">
        <f t="shared" si="38"/>
        <v>Light</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f t="shared" si="36"/>
        <v>67.5</v>
      </c>
      <c r="N813" t="str">
        <f t="shared" si="37"/>
        <v>Arabica</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f t="shared" si="36"/>
        <v>178.70999999999998</v>
      </c>
      <c r="N814" t="str">
        <f t="shared" si="37"/>
        <v>Liberica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f t="shared" si="36"/>
        <v>8.91</v>
      </c>
      <c r="N816" t="str">
        <f t="shared" si="37"/>
        <v>Excelsa</v>
      </c>
      <c r="O816" t="str">
        <f t="shared" si="38"/>
        <v>Light</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f t="shared" si="36"/>
        <v>38.04</v>
      </c>
      <c r="N818" t="str">
        <f t="shared" si="37"/>
        <v>Liberica</v>
      </c>
      <c r="O818" t="str">
        <f t="shared" si="38"/>
        <v>Light</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f t="shared" si="36"/>
        <v>15.54</v>
      </c>
      <c r="N819" t="str">
        <f t="shared" si="37"/>
        <v>Liberica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f t="shared" si="36"/>
        <v>79.25</v>
      </c>
      <c r="N820" t="str">
        <f t="shared" si="37"/>
        <v>Liberica</v>
      </c>
      <c r="O820" t="str">
        <f t="shared" si="38"/>
        <v>Light</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f t="shared" si="36"/>
        <v>4.7549999999999999</v>
      </c>
      <c r="N821" t="str">
        <f t="shared" si="37"/>
        <v>Liberica</v>
      </c>
      <c r="O821" t="str">
        <f t="shared" si="38"/>
        <v>Light</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f t="shared" si="36"/>
        <v>136.61999999999998</v>
      </c>
      <c r="N824" t="str">
        <f t="shared" si="37"/>
        <v>Excelsa</v>
      </c>
      <c r="O824" t="str">
        <f t="shared" si="38"/>
        <v>Light</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f t="shared" si="36"/>
        <v>47.55</v>
      </c>
      <c r="N825" t="str">
        <f t="shared" si="37"/>
        <v>Liberica</v>
      </c>
      <c r="O825" t="str">
        <f t="shared" si="38"/>
        <v>Light</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f t="shared" si="36"/>
        <v>16.875</v>
      </c>
      <c r="N826" t="str">
        <f t="shared" si="37"/>
        <v>Arabica</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f t="shared" si="36"/>
        <v>29.849999999999998</v>
      </c>
      <c r="N827" t="str">
        <f t="shared" si="37"/>
        <v>Arabica</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f t="shared" si="36"/>
        <v>137.31</v>
      </c>
      <c r="N830" t="str">
        <f t="shared" si="37"/>
        <v>Arabica</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f t="shared" si="36"/>
        <v>2.9849999999999999</v>
      </c>
      <c r="N831" t="str">
        <f t="shared" si="37"/>
        <v>Arabica</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f t="shared" si="36"/>
        <v>5.97</v>
      </c>
      <c r="N833" t="str">
        <f t="shared" si="37"/>
        <v>Arabica</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f t="shared" si="39"/>
        <v>22.884999999999998</v>
      </c>
      <c r="N836" t="str">
        <f t="shared" si="40"/>
        <v>Arabica</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f t="shared" si="39"/>
        <v>8.91</v>
      </c>
      <c r="N837" t="str">
        <f t="shared" si="40"/>
        <v>Excelsa</v>
      </c>
      <c r="O837" t="str">
        <f t="shared" si="41"/>
        <v>Light</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f t="shared" si="39"/>
        <v>11.94</v>
      </c>
      <c r="N838" t="str">
        <f t="shared" si="40"/>
        <v>Arabica</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f t="shared" si="39"/>
        <v>100.39499999999998</v>
      </c>
      <c r="N839" t="str">
        <f t="shared" si="40"/>
        <v>Liberica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f t="shared" si="39"/>
        <v>114.42499999999998</v>
      </c>
      <c r="N840" t="str">
        <f t="shared" si="40"/>
        <v>Arabica</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f t="shared" si="39"/>
        <v>28.679999999999996</v>
      </c>
      <c r="N842" t="str">
        <f t="shared" si="40"/>
        <v>Robusta</v>
      </c>
      <c r="O842" t="str">
        <f t="shared" si="41"/>
        <v>Light</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f t="shared" si="39"/>
        <v>4.3650000000000002</v>
      </c>
      <c r="N843" t="str">
        <f t="shared" si="40"/>
        <v>Liberica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f t="shared" si="39"/>
        <v>35.82</v>
      </c>
      <c r="N846" t="str">
        <f t="shared" si="40"/>
        <v>Arabica</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f t="shared" si="39"/>
        <v>51.749999999999993</v>
      </c>
      <c r="N848" t="str">
        <f t="shared" si="40"/>
        <v>Arabica</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f t="shared" si="39"/>
        <v>8.9550000000000001</v>
      </c>
      <c r="N849" t="str">
        <f t="shared" si="40"/>
        <v>Arabica</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f t="shared" si="39"/>
        <v>53.46</v>
      </c>
      <c r="N850" t="str">
        <f t="shared" si="40"/>
        <v>Excelsa</v>
      </c>
      <c r="O850" t="str">
        <f t="shared" si="41"/>
        <v>Light</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f t="shared" si="39"/>
        <v>23.31</v>
      </c>
      <c r="N851" t="str">
        <f t="shared" si="40"/>
        <v>Arabica</v>
      </c>
      <c r="O851" t="str">
        <f t="shared" si="41"/>
        <v>Light</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f t="shared" si="39"/>
        <v>6.75</v>
      </c>
      <c r="N852" t="str">
        <f t="shared" si="40"/>
        <v>Arabica</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f t="shared" si="39"/>
        <v>7.77</v>
      </c>
      <c r="N853" t="str">
        <f t="shared" si="40"/>
        <v>Liberica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f t="shared" si="39"/>
        <v>119.13999999999999</v>
      </c>
      <c r="N854" t="str">
        <f t="shared" si="40"/>
        <v>Liberica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f t="shared" si="39"/>
        <v>19.899999999999999</v>
      </c>
      <c r="N855" t="str">
        <f t="shared" si="40"/>
        <v>Arabica</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f t="shared" si="39"/>
        <v>35.849999999999994</v>
      </c>
      <c r="N856" t="str">
        <f t="shared" si="40"/>
        <v>Robusta</v>
      </c>
      <c r="O856" t="str">
        <f t="shared" si="41"/>
        <v>Light</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f t="shared" si="39"/>
        <v>89.35499999999999</v>
      </c>
      <c r="N857" t="str">
        <f t="shared" si="40"/>
        <v>Liberica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f t="shared" si="39"/>
        <v>8.73</v>
      </c>
      <c r="N858" t="str">
        <f t="shared" si="40"/>
        <v>Liberica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f t="shared" si="39"/>
        <v>137.42499999999998</v>
      </c>
      <c r="N859" t="str">
        <f t="shared" si="40"/>
        <v>Robusta</v>
      </c>
      <c r="O859" t="str">
        <f t="shared" si="41"/>
        <v>Light</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f t="shared" si="39"/>
        <v>34.92</v>
      </c>
      <c r="N860" t="str">
        <f t="shared" si="40"/>
        <v>Liberica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f t="shared" si="39"/>
        <v>178.70999999999998</v>
      </c>
      <c r="N861" t="str">
        <f t="shared" si="40"/>
        <v>Arabica</v>
      </c>
      <c r="O861" t="str">
        <f t="shared" si="41"/>
        <v>Light</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f t="shared" si="39"/>
        <v>25.874999999999996</v>
      </c>
      <c r="N862" t="str">
        <f t="shared" si="40"/>
        <v>Arabica</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f t="shared" si="39"/>
        <v>77.699999999999989</v>
      </c>
      <c r="N863" t="str">
        <f t="shared" si="40"/>
        <v>Liberica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f t="shared" si="39"/>
        <v>29.1</v>
      </c>
      <c r="N865" t="str">
        <f t="shared" si="40"/>
        <v>Liberica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f t="shared" si="39"/>
        <v>21.509999999999998</v>
      </c>
      <c r="N866" t="str">
        <f t="shared" si="40"/>
        <v>Robusta</v>
      </c>
      <c r="O866" t="str">
        <f t="shared" si="41"/>
        <v>Light</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f t="shared" si="39"/>
        <v>6.75</v>
      </c>
      <c r="N867" t="str">
        <f t="shared" si="40"/>
        <v>Arabica</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f t="shared" si="39"/>
        <v>17.91</v>
      </c>
      <c r="N868" t="str">
        <f t="shared" si="40"/>
        <v>Arabica</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f t="shared" si="39"/>
        <v>29.784999999999997</v>
      </c>
      <c r="N869" t="str">
        <f t="shared" si="40"/>
        <v>Arabica</v>
      </c>
      <c r="O869" t="str">
        <f t="shared" si="41"/>
        <v>Light</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f t="shared" si="39"/>
        <v>29.7</v>
      </c>
      <c r="N873" t="str">
        <f t="shared" si="40"/>
        <v>Excelsa</v>
      </c>
      <c r="O873" t="str">
        <f t="shared" si="41"/>
        <v>Light</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f t="shared" si="39"/>
        <v>22.5</v>
      </c>
      <c r="N874" t="str">
        <f t="shared" si="40"/>
        <v>Arabica</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f t="shared" si="39"/>
        <v>25.9</v>
      </c>
      <c r="N876" t="str">
        <f t="shared" si="40"/>
        <v>Arabica</v>
      </c>
      <c r="O876" t="str">
        <f t="shared" si="41"/>
        <v>Light</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f t="shared" si="39"/>
        <v>43.650000000000006</v>
      </c>
      <c r="N877" t="str">
        <f t="shared" si="40"/>
        <v>Liberica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f t="shared" si="39"/>
        <v>46.62</v>
      </c>
      <c r="N878" t="str">
        <f t="shared" si="40"/>
        <v>Arabica</v>
      </c>
      <c r="O878" t="str">
        <f t="shared" si="41"/>
        <v>Light</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f t="shared" si="39"/>
        <v>28.53</v>
      </c>
      <c r="N879" t="str">
        <f t="shared" si="40"/>
        <v>Liberica</v>
      </c>
      <c r="O879" t="str">
        <f t="shared" si="41"/>
        <v>Light</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f t="shared" si="39"/>
        <v>27.484999999999996</v>
      </c>
      <c r="N880" t="str">
        <f t="shared" si="40"/>
        <v>Robusta</v>
      </c>
      <c r="O880" t="str">
        <f t="shared" si="41"/>
        <v>Light</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f t="shared" si="39"/>
        <v>7.169999999999999</v>
      </c>
      <c r="N882" t="str">
        <f t="shared" si="40"/>
        <v>Robusta</v>
      </c>
      <c r="O882" t="str">
        <f t="shared" si="41"/>
        <v>Light</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f t="shared" si="39"/>
        <v>23.31</v>
      </c>
      <c r="N883" t="str">
        <f t="shared" si="40"/>
        <v>Arabica</v>
      </c>
      <c r="O883" t="str">
        <f t="shared" si="41"/>
        <v>Light</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f t="shared" si="39"/>
        <v>114.42499999999998</v>
      </c>
      <c r="N884" t="str">
        <f t="shared" si="40"/>
        <v>Arabica</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f t="shared" si="39"/>
        <v>77.624999999999986</v>
      </c>
      <c r="N885" t="str">
        <f t="shared" si="40"/>
        <v>Arabica</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f t="shared" si="39"/>
        <v>17.46</v>
      </c>
      <c r="N888" t="str">
        <f t="shared" si="40"/>
        <v>Liberica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f t="shared" si="39"/>
        <v>13.365</v>
      </c>
      <c r="N889" t="str">
        <f t="shared" si="40"/>
        <v>Excelsa</v>
      </c>
      <c r="O889" t="str">
        <f t="shared" si="41"/>
        <v>Light</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f t="shared" si="39"/>
        <v>7.77</v>
      </c>
      <c r="N890" t="str">
        <f t="shared" si="40"/>
        <v>Arabica</v>
      </c>
      <c r="O890" t="str">
        <f t="shared" si="41"/>
        <v>Light</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f t="shared" si="39"/>
        <v>114.42499999999998</v>
      </c>
      <c r="N893" t="str">
        <f t="shared" si="40"/>
        <v>Arabica</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f t="shared" si="39"/>
        <v>57.06</v>
      </c>
      <c r="N895" t="str">
        <f t="shared" si="40"/>
        <v>Liberica</v>
      </c>
      <c r="O895" t="str">
        <f t="shared" si="41"/>
        <v>Light</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f t="shared" si="42"/>
        <v>35.849999999999994</v>
      </c>
      <c r="N900" t="str">
        <f t="shared" si="43"/>
        <v>Robusta</v>
      </c>
      <c r="O900" t="str">
        <f t="shared" si="44"/>
        <v>Light</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f t="shared" si="42"/>
        <v>72.75</v>
      </c>
      <c r="N901" t="str">
        <f t="shared" si="43"/>
        <v>Liberica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f t="shared" si="42"/>
        <v>47.55</v>
      </c>
      <c r="N902" t="str">
        <f t="shared" si="43"/>
        <v>Liberica</v>
      </c>
      <c r="O902" t="str">
        <f t="shared" si="44"/>
        <v>Light</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f t="shared" si="42"/>
        <v>3.5849999999999995</v>
      </c>
      <c r="N903" t="str">
        <f t="shared" si="43"/>
        <v>Robusta</v>
      </c>
      <c r="O903" t="str">
        <f t="shared" si="44"/>
        <v>Light</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f t="shared" si="42"/>
        <v>17.46</v>
      </c>
      <c r="N905" t="str">
        <f t="shared" si="43"/>
        <v>Liberica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f t="shared" si="42"/>
        <v>148.92499999999998</v>
      </c>
      <c r="N906" t="str">
        <f t="shared" si="43"/>
        <v>Arabica</v>
      </c>
      <c r="O906" t="str">
        <f t="shared" si="44"/>
        <v>Light</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f t="shared" si="42"/>
        <v>40.5</v>
      </c>
      <c r="N907" t="str">
        <f t="shared" si="43"/>
        <v>Arabica</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f t="shared" si="42"/>
        <v>27</v>
      </c>
      <c r="N908" t="str">
        <f t="shared" si="43"/>
        <v>Arabica</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f t="shared" si="42"/>
        <v>38.849999999999994</v>
      </c>
      <c r="N909" t="str">
        <f t="shared" si="43"/>
        <v>Liberica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f t="shared" si="42"/>
        <v>59.75</v>
      </c>
      <c r="N910" t="str">
        <f t="shared" si="43"/>
        <v>Robusta</v>
      </c>
      <c r="O910" t="str">
        <f t="shared" si="44"/>
        <v>Light</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f t="shared" si="42"/>
        <v>10.754999999999999</v>
      </c>
      <c r="N911" t="str">
        <f t="shared" si="43"/>
        <v>Robusta</v>
      </c>
      <c r="O911" t="str">
        <f t="shared" si="44"/>
        <v>Light</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f t="shared" si="42"/>
        <v>91.539999999999992</v>
      </c>
      <c r="N912" t="str">
        <f t="shared" si="43"/>
        <v>Arabica</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f t="shared" si="42"/>
        <v>45</v>
      </c>
      <c r="N913" t="str">
        <f t="shared" si="43"/>
        <v>Arabica</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f t="shared" si="42"/>
        <v>6.75</v>
      </c>
      <c r="N915" t="str">
        <f t="shared" si="43"/>
        <v>Arabica</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f t="shared" si="42"/>
        <v>45</v>
      </c>
      <c r="N916" t="str">
        <f t="shared" si="43"/>
        <v>Arabica</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f t="shared" si="42"/>
        <v>6.75</v>
      </c>
      <c r="N919" t="str">
        <f t="shared" si="43"/>
        <v>Arabica</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f t="shared" si="42"/>
        <v>7.77</v>
      </c>
      <c r="N923" t="str">
        <f t="shared" si="43"/>
        <v>Liberica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f t="shared" si="42"/>
        <v>67.5</v>
      </c>
      <c r="N924" t="str">
        <f t="shared" si="43"/>
        <v>Arabica</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f t="shared" si="42"/>
        <v>89.35499999999999</v>
      </c>
      <c r="N926" t="str">
        <f t="shared" si="43"/>
        <v>Arabica</v>
      </c>
      <c r="O926" t="str">
        <f t="shared" si="44"/>
        <v>Light</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f t="shared" si="42"/>
        <v>20.25</v>
      </c>
      <c r="N927" t="str">
        <f t="shared" si="43"/>
        <v>Arabica</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f t="shared" si="42"/>
        <v>33.75</v>
      </c>
      <c r="N928" t="str">
        <f t="shared" si="43"/>
        <v>Arabica</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f t="shared" si="42"/>
        <v>8.91</v>
      </c>
      <c r="N931" t="str">
        <f t="shared" si="43"/>
        <v>Excelsa</v>
      </c>
      <c r="O931" t="str">
        <f t="shared" si="44"/>
        <v>Light</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f t="shared" si="42"/>
        <v>23.88</v>
      </c>
      <c r="N933" t="str">
        <f t="shared" si="43"/>
        <v>Arabica</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f t="shared" si="42"/>
        <v>155.24999999999997</v>
      </c>
      <c r="N937" t="str">
        <f t="shared" si="43"/>
        <v>Arabica</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f t="shared" si="42"/>
        <v>23.31</v>
      </c>
      <c r="N938" t="str">
        <f t="shared" si="43"/>
        <v>Liberica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f t="shared" si="42"/>
        <v>74.25</v>
      </c>
      <c r="N940" t="str">
        <f t="shared" si="43"/>
        <v>Excelsa</v>
      </c>
      <c r="O940" t="str">
        <f t="shared" si="44"/>
        <v>Light</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f t="shared" si="42"/>
        <v>28.53</v>
      </c>
      <c r="N941" t="str">
        <f t="shared" si="43"/>
        <v>Liberica</v>
      </c>
      <c r="O941" t="str">
        <f t="shared" si="44"/>
        <v>Light</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f t="shared" si="42"/>
        <v>14.339999999999998</v>
      </c>
      <c r="N942" t="str">
        <f t="shared" si="43"/>
        <v>Robusta</v>
      </c>
      <c r="O942" t="str">
        <f t="shared" si="44"/>
        <v>Light</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f t="shared" si="42"/>
        <v>15.54</v>
      </c>
      <c r="N943" t="str">
        <f t="shared" si="43"/>
        <v>Arabica</v>
      </c>
      <c r="O943" t="str">
        <f t="shared" si="44"/>
        <v>Light</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f t="shared" si="42"/>
        <v>35.849999999999994</v>
      </c>
      <c r="N944" t="str">
        <f t="shared" si="43"/>
        <v>Robusta</v>
      </c>
      <c r="O944" t="str">
        <f t="shared" si="44"/>
        <v>Light</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f t="shared" si="42"/>
        <v>46.62</v>
      </c>
      <c r="N945" t="str">
        <f t="shared" si="43"/>
        <v>Arabica</v>
      </c>
      <c r="O945" t="str">
        <f t="shared" si="44"/>
        <v>Light</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f t="shared" si="42"/>
        <v>35.849999999999994</v>
      </c>
      <c r="N946" t="str">
        <f t="shared" si="43"/>
        <v>Robusta</v>
      </c>
      <c r="O946" t="str">
        <f t="shared" si="44"/>
        <v>Light</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f t="shared" si="42"/>
        <v>119.13999999999999</v>
      </c>
      <c r="N947" t="str">
        <f t="shared" si="43"/>
        <v>Liberica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f t="shared" si="42"/>
        <v>23.31</v>
      </c>
      <c r="N948" t="str">
        <f t="shared" si="43"/>
        <v>Liberica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f t="shared" si="42"/>
        <v>11.25</v>
      </c>
      <c r="N949" t="str">
        <f t="shared" si="43"/>
        <v>Arabica</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f t="shared" si="42"/>
        <v>109.93999999999998</v>
      </c>
      <c r="N951" t="str">
        <f t="shared" si="43"/>
        <v>Robusta</v>
      </c>
      <c r="O951" t="str">
        <f t="shared" si="44"/>
        <v>Light</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f t="shared" si="42"/>
        <v>14.339999999999998</v>
      </c>
      <c r="N952" t="str">
        <f t="shared" si="43"/>
        <v>Robusta</v>
      </c>
      <c r="O952" t="str">
        <f t="shared" si="44"/>
        <v>Light</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f t="shared" si="42"/>
        <v>21.509999999999998</v>
      </c>
      <c r="N953" t="str">
        <f t="shared" si="43"/>
        <v>Robusta</v>
      </c>
      <c r="O953" t="str">
        <f t="shared" si="44"/>
        <v>Light</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f t="shared" si="42"/>
        <v>22.5</v>
      </c>
      <c r="N954" t="str">
        <f t="shared" si="43"/>
        <v>Arabica</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f t="shared" si="42"/>
        <v>3.8849999999999998</v>
      </c>
      <c r="N955" t="str">
        <f t="shared" si="43"/>
        <v>Arabica</v>
      </c>
      <c r="O955" t="str">
        <f t="shared" si="44"/>
        <v>Light</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f t="shared" si="42"/>
        <v>170.77499999999998</v>
      </c>
      <c r="N957" t="str">
        <f t="shared" si="43"/>
        <v>Excelsa</v>
      </c>
      <c r="O957" t="str">
        <f t="shared" si="44"/>
        <v>Light</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f t="shared" si="42"/>
        <v>54.969999999999992</v>
      </c>
      <c r="N958" t="str">
        <f t="shared" si="43"/>
        <v>Robusta</v>
      </c>
      <c r="O958" t="str">
        <f t="shared" si="44"/>
        <v>Light</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f t="shared" si="42"/>
        <v>14.85</v>
      </c>
      <c r="N959" t="str">
        <f t="shared" si="43"/>
        <v>Excelsa</v>
      </c>
      <c r="O959" t="str">
        <f t="shared" si="44"/>
        <v>Light</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f t="shared" si="42"/>
        <v>7.77</v>
      </c>
      <c r="N960" t="str">
        <f t="shared" si="43"/>
        <v>Arabica</v>
      </c>
      <c r="O960" t="str">
        <f t="shared" si="44"/>
        <v>Light</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f t="shared" si="42"/>
        <v>23.774999999999999</v>
      </c>
      <c r="N961" t="str">
        <f t="shared" si="43"/>
        <v>Liberica</v>
      </c>
      <c r="O961" t="str">
        <f t="shared" si="44"/>
        <v>Light</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f t="shared" si="42"/>
        <v>79.25</v>
      </c>
      <c r="N962" t="str">
        <f t="shared" si="43"/>
        <v>Liberica</v>
      </c>
      <c r="O962" t="str">
        <f t="shared" si="44"/>
        <v>Light</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0" si="47">IF(J963="M","Medium",IF(J963="L","Light",IF(J963="D","Dark","")))</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f t="shared" si="45"/>
        <v>22.274999999999999</v>
      </c>
      <c r="N966" t="str">
        <f t="shared" si="46"/>
        <v>Excelsa</v>
      </c>
      <c r="O966" t="str">
        <f t="shared" si="47"/>
        <v>Light</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f t="shared" si="45"/>
        <v>53.46</v>
      </c>
      <c r="N968" t="str">
        <f t="shared" si="46"/>
        <v>Excelsa</v>
      </c>
      <c r="O968" t="str">
        <f t="shared" si="47"/>
        <v>Light</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f t="shared" si="45"/>
        <v>12.95</v>
      </c>
      <c r="N971" t="str">
        <f t="shared" si="46"/>
        <v>Liberica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f t="shared" si="45"/>
        <v>148.92499999999998</v>
      </c>
      <c r="N973" t="str">
        <f t="shared" si="46"/>
        <v>Arabica</v>
      </c>
      <c r="O973" t="str">
        <f t="shared" si="47"/>
        <v>Light</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f t="shared" si="45"/>
        <v>89.35499999999999</v>
      </c>
      <c r="N974" t="str">
        <f t="shared" si="46"/>
        <v>Arabica</v>
      </c>
      <c r="O974" t="str">
        <f t="shared" si="47"/>
        <v>Light</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f t="shared" si="45"/>
        <v>87.300000000000011</v>
      </c>
      <c r="N975" t="str">
        <f t="shared" si="46"/>
        <v>Liberica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f t="shared" si="45"/>
        <v>8.9550000000000001</v>
      </c>
      <c r="N977" t="str">
        <f t="shared" si="46"/>
        <v>Arabica</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f t="shared" si="45"/>
        <v>137.42499999999998</v>
      </c>
      <c r="N978" t="str">
        <f t="shared" si="46"/>
        <v>Robusta</v>
      </c>
      <c r="O978" t="str">
        <f t="shared" si="47"/>
        <v>Light</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f t="shared" si="45"/>
        <v>59.75</v>
      </c>
      <c r="N979" t="str">
        <f t="shared" si="46"/>
        <v>Robusta</v>
      </c>
      <c r="O979" t="str">
        <f t="shared" si="47"/>
        <v>Light</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f t="shared" si="45"/>
        <v>23.31</v>
      </c>
      <c r="N980" t="str">
        <f t="shared" si="46"/>
        <v>Arabica</v>
      </c>
      <c r="O980" t="str">
        <f t="shared" si="47"/>
        <v>Light</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f t="shared" si="45"/>
        <v>23.9</v>
      </c>
      <c r="N984" t="str">
        <f t="shared" si="46"/>
        <v>Robusta</v>
      </c>
      <c r="O984" t="str">
        <f t="shared" si="47"/>
        <v>Light</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f t="shared" si="45"/>
        <v>6.75</v>
      </c>
      <c r="N985" t="str">
        <f t="shared" si="46"/>
        <v>Arabica</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f t="shared" si="45"/>
        <v>47.8</v>
      </c>
      <c r="N987" t="str">
        <f t="shared" si="46"/>
        <v>Robusta</v>
      </c>
      <c r="O987" t="str">
        <f t="shared" si="47"/>
        <v>Light</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f t="shared" si="45"/>
        <v>33.464999999999996</v>
      </c>
      <c r="N988" t="str">
        <f t="shared" si="46"/>
        <v>Liberica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f t="shared" si="45"/>
        <v>29.849999999999998</v>
      </c>
      <c r="N989" t="str">
        <f t="shared" si="46"/>
        <v>Arabica</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f t="shared" si="45"/>
        <v>155.24999999999997</v>
      </c>
      <c r="N991" t="str">
        <f t="shared" si="46"/>
        <v>Arabica</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f t="shared" si="45"/>
        <v>15.54</v>
      </c>
      <c r="N993" t="str">
        <f t="shared" si="46"/>
        <v>Liberica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f t="shared" si="45"/>
        <v>109.36499999999999</v>
      </c>
      <c r="N994" t="str">
        <f t="shared" si="46"/>
        <v>Liberica</v>
      </c>
      <c r="O994" t="str">
        <f t="shared" si="47"/>
        <v>Light</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f t="shared" si="45"/>
        <v>77.699999999999989</v>
      </c>
      <c r="N995" t="str">
        <f t="shared" si="46"/>
        <v>Arabica</v>
      </c>
      <c r="O995" t="str">
        <f t="shared" si="47"/>
        <v>Light</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f t="shared" si="45"/>
        <v>8.9550000000000001</v>
      </c>
      <c r="N996" t="str">
        <f t="shared" si="46"/>
        <v>Arabica</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f t="shared" si="45"/>
        <v>27.484999999999996</v>
      </c>
      <c r="N997" t="str">
        <f>IF(I997="Rob","Robusta",IF(I997="Exc","Excelsa",IF(I997="Ara","Arabica",IF(I997="Lib","Liberica",""))))</f>
        <v>Robusta</v>
      </c>
      <c r="O997" t="str">
        <f t="shared" si="47"/>
        <v>Light</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f t="shared" si="45"/>
        <v>27</v>
      </c>
      <c r="N999" t="str">
        <f t="shared" si="46"/>
        <v>Arabica</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f t="shared" si="45"/>
        <v>9.9499999999999993</v>
      </c>
      <c r="N1000" t="str">
        <f t="shared" si="46"/>
        <v>Arabica</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f t="shared" si="45"/>
        <v>12.375</v>
      </c>
      <c r="N1001" t="str">
        <f t="shared" si="46"/>
        <v>Excelsa</v>
      </c>
      <c r="O1001" t="str">
        <f>IF(J1001="M","Medium",IF(J1001="L","Light",IF(J1001="D","Dark","")))</f>
        <v>Medium</v>
      </c>
      <c r="P1001" t="str">
        <f>_xlfn.XLOOKUP(C1001,customers!$A$1:$A$1001,customers!$I$1:$I$1001,,0)</f>
        <v>Yes</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9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RFM Analysis</vt:lpstr>
      <vt:lpstr>Total Sales</vt:lpstr>
      <vt:lpstr>Country BarChart</vt:lpstr>
      <vt:lpstr>Country BarChart (2)</vt:lpstr>
      <vt:lpstr>Dashboard</vt:lpstr>
      <vt:lpstr>Sheet1</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chau</dc:creator>
  <cp:keywords/>
  <dc:description/>
  <cp:lastModifiedBy>patrick chau</cp:lastModifiedBy>
  <cp:revision/>
  <dcterms:created xsi:type="dcterms:W3CDTF">2022-11-26T09:51:45Z</dcterms:created>
  <dcterms:modified xsi:type="dcterms:W3CDTF">2026-09-18T23:20:02Z</dcterms:modified>
  <cp:category/>
  <cp:contentStatus/>
</cp:coreProperties>
</file>